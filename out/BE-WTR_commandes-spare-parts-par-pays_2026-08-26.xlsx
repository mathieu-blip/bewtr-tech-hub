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Commandes par pays" sheetId="2" state="visible" r:id="rId2"/>
    <sheet name="Vérification claims" sheetId="3" state="visible" r:id="rId3"/>
    <sheet name="Référentiel SKU &amp; prix" sheetId="4" state="visible" r:id="rId4"/>
  </sheets>
  <definedNames>
    <definedName name="_xlnm._FilterDatabase" localSheetId="1" hidden="1">'Commandes par pays'!$A$4:$M$33</definedName>
    <definedName name="_xlnm._FilterDatabase" localSheetId="2" hidden="1">'Vérification claims'!$A$4:$I$57</definedName>
    <definedName name="_xlnm._FilterDatabase" localSheetId="3" hidden="1">'Référentiel SKU &amp; prix'!$A$4:$H$298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#,##0;(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BFB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5" fillId="0" borderId="1" pivotButton="0" quotePrefix="0" xfId="0"/>
    <xf numFmtId="0" fontId="4" fillId="5" borderId="1" pivotButton="0" quotePrefix="0" xfId="0"/>
    <xf numFmtId="165" fontId="4" fillId="5" borderId="1" pivotButton="0" quotePrefix="0" xfId="0"/>
    <xf numFmtId="0" fontId="7" fillId="0" borderId="0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165" fontId="6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0" fillId="5" borderId="1" pivotButton="0" quotePrefix="0" xfId="0"/>
    <xf numFmtId="164" fontId="4" fillId="5" borderId="1" pivotButton="0" quotePrefix="0" xfId="0"/>
    <xf numFmtId="0" fontId="4" fillId="4" borderId="1" applyAlignment="1" pivotButton="0" quotePrefix="0" xfId="0">
      <alignment vertical="top"/>
    </xf>
    <xf numFmtId="0" fontId="5" fillId="0" borderId="1" pivotButton="0" quotePrefix="0" xfId="0"/>
    <xf numFmtId="164" fontId="5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22" customWidth="1" min="4" max="4"/>
    <col width="20" customWidth="1" min="5" max="5"/>
    <col width="18" customWidth="1" min="6" max="6"/>
    <col width="16" customWidth="1" min="7" max="7"/>
  </cols>
  <sheetData>
    <row r="1">
      <c r="A1" s="1" t="inlineStr">
        <is>
          <t>Commandes de pièces détachées par pays</t>
        </is>
      </c>
    </row>
    <row r="2">
      <c r="A2" s="2" t="inlineStr">
        <is>
          <t>Extrait du board Monday « Technical troubleshooting » le 26.08.2026.</t>
        </is>
      </c>
    </row>
    <row r="4" ht="32" customHeight="1">
      <c r="A4" s="3" t="inlineStr">
        <is>
          <t>Pays</t>
        </is>
      </c>
      <c r="B4" s="3" t="inlineStr">
        <is>
          <t>Lignes</t>
        </is>
      </c>
      <c r="C4" s="3" t="inlineStr">
        <is>
          <t>Pièces</t>
        </is>
      </c>
      <c r="D4" s="3" t="inlineStr">
        <is>
          <t>dont commande Monday</t>
        </is>
      </c>
      <c r="E4" s="3" t="inlineStr">
        <is>
          <t>dont claim ouvert</t>
        </is>
      </c>
      <c r="F4" s="3" t="inlineStr">
        <is>
          <t>SKU à renseigner</t>
        </is>
      </c>
      <c r="G4" s="3" t="inlineStr">
        <is>
          <t>Claims ouverts</t>
        </is>
      </c>
    </row>
    <row r="5">
      <c r="A5" s="4" t="inlineStr">
        <is>
          <t>France</t>
        </is>
      </c>
      <c r="B5" s="5" t="n">
        <v>16</v>
      </c>
      <c r="C5" s="5" t="n">
        <v>155</v>
      </c>
      <c r="D5" s="5" t="n">
        <v>153</v>
      </c>
      <c r="E5" s="5" t="n">
        <v>2</v>
      </c>
      <c r="F5" s="5" t="n">
        <v>2</v>
      </c>
      <c r="G5" s="5" t="n">
        <v>10</v>
      </c>
    </row>
    <row r="6">
      <c r="A6" s="4" t="inlineStr">
        <is>
          <t>Suisse</t>
        </is>
      </c>
      <c r="B6" s="5" t="n">
        <v>10</v>
      </c>
      <c r="C6" s="5" t="n">
        <v>110</v>
      </c>
      <c r="D6" s="5" t="n">
        <v>105</v>
      </c>
      <c r="E6" s="5" t="n">
        <v>5</v>
      </c>
      <c r="F6" s="5" t="n">
        <v>4</v>
      </c>
      <c r="G6" s="5" t="n">
        <v>38</v>
      </c>
    </row>
    <row r="7">
      <c r="A7" s="4" t="inlineStr">
        <is>
          <t>UK</t>
        </is>
      </c>
      <c r="B7" s="5" t="n">
        <v>1</v>
      </c>
      <c r="C7" s="5" t="n">
        <v>1</v>
      </c>
      <c r="D7" s="5" t="n">
        <v>0</v>
      </c>
      <c r="E7" s="5" t="n">
        <v>1</v>
      </c>
      <c r="F7" s="5" t="n">
        <v>0</v>
      </c>
      <c r="G7" s="5" t="n">
        <v>1</v>
      </c>
    </row>
    <row r="8">
      <c r="A8" s="4" t="inlineStr">
        <is>
          <t>Émirats</t>
        </is>
      </c>
      <c r="B8" s="5" t="n">
        <v>2</v>
      </c>
      <c r="C8" s="5" t="n">
        <v>2</v>
      </c>
      <c r="D8" s="5" t="n">
        <v>0</v>
      </c>
      <c r="E8" s="5" t="n">
        <v>2</v>
      </c>
      <c r="F8" s="5" t="n">
        <v>1</v>
      </c>
      <c r="G8" s="5" t="n">
        <v>2</v>
      </c>
    </row>
    <row r="9">
      <c r="A9" s="4" t="inlineStr">
        <is>
          <t>Espagne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</row>
    <row r="10">
      <c r="A10" s="4" t="inlineStr">
        <is>
          <t>Canada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1</v>
      </c>
    </row>
    <row r="11">
      <c r="A11" s="6" t="inlineStr">
        <is>
          <t>TOTAL</t>
        </is>
      </c>
      <c r="B11" s="7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SUM(F5:F10)</f>
        <v/>
      </c>
      <c r="G11" s="7">
        <f>SUM(G5:G10)</f>
        <v/>
      </c>
    </row>
    <row r="13">
      <c r="A13" s="8" t="inlineStr">
        <is>
          <t>Montant chiffrable (CHF)</t>
        </is>
      </c>
      <c r="C13" s="9">
        <f>'Commandes par pays'!I34</f>
        <v/>
      </c>
    </row>
    <row r="14">
      <c r="A14" s="8" t="inlineStr">
        <is>
          <t>Montant chiffrable (EUR)</t>
        </is>
      </c>
      <c r="C14" s="9">
        <f>'Commandes par pays'!J34</f>
        <v/>
      </c>
    </row>
    <row r="16">
      <c r="A16" s="10" t="inlineStr">
        <is>
          <t>Espagne et Canada n'ont aucune pièce à commander : le claim espagnol est vide (« Ajouter subject ») et le claim canadien attend un frigoriste local.</t>
        </is>
      </c>
    </row>
    <row r="17"/>
    <row r="19">
      <c r="A19" s="10" t="inlineStr">
        <is>
          <t>France : la commande couvre les pannes remontées, sauf deux écarts — 4 moteurs de pompe CO2 sont en panne pour 3 commandés, et 20 thermostats sont commandés pour 3 pannes.</t>
        </is>
      </c>
    </row>
    <row r="20"/>
    <row r="22">
      <c r="A22" s="10" t="inlineStr">
        <is>
          <t>Décisions validées le 26.08.2026 : carte PRO1 = BW-0164 (195 CHF), ventilateur BOX 20 = Blupura 750244 (22,50 EUR), transformateur PRO2 = BW-0301, ramasse-goutte = BW-0507, lignes Monday dupliquées lues comme doublons de saisie, panneaux tactiles PRO2 exclus de la commande.</t>
        </is>
      </c>
    </row>
    <row r="23"/>
  </sheetData>
  <mergeCells count="3">
    <mergeCell ref="A19:G20"/>
    <mergeCell ref="A16:G17"/>
    <mergeCell ref="A22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15" customWidth="1" min="4" max="4"/>
    <col width="15" customWidth="1" min="5" max="5"/>
    <col width="7" customWidth="1" min="6" max="6"/>
    <col width="13" customWidth="1" min="7" max="7"/>
    <col width="14" customWidth="1" min="8" max="8"/>
    <col width="12" customWidth="1" min="9" max="9"/>
    <col width="12" customWidth="1" min="10" max="10"/>
    <col width="15" customWidth="1" min="11" max="11"/>
    <col width="13" customWidth="1" min="12" max="12"/>
    <col width="46" customWidth="1" min="13" max="13"/>
  </cols>
  <sheetData>
    <row r="1">
      <c r="A1" s="1" t="inlineStr">
        <is>
          <t>Pièces à commander par pays — SKU, référence fournisseur et désignation</t>
        </is>
      </c>
    </row>
    <row r="2">
      <c r="A2" s="2" t="inlineStr">
        <is>
          <t>Board Monday « Technical troubleshooting » au 26.08.2026 : 2 commandes formalisées + pièces déduites des 53 claims ouverts. Cellule SKU grisée = référence à renseigner.</t>
        </is>
      </c>
    </row>
    <row r="4" ht="32" customHeight="1">
      <c r="A4" s="3" t="inlineStr">
        <is>
          <t>Pays</t>
        </is>
      </c>
      <c r="B4" s="3" t="inlineStr">
        <is>
          <t>SKU BW</t>
        </is>
      </c>
      <c r="C4" s="3" t="inlineStr">
        <is>
          <t>Désignation</t>
        </is>
      </c>
      <c r="D4" s="3" t="inlineStr">
        <is>
          <t>Réf. fournisseur</t>
        </is>
      </c>
      <c r="E4" s="3" t="inlineStr">
        <is>
          <t>Fournisseur</t>
        </is>
      </c>
      <c r="F4" s="3" t="inlineStr">
        <is>
          <t>Qté</t>
        </is>
      </c>
      <c r="G4" s="3" t="inlineStr">
        <is>
          <t>Prix cat. (CHF)</t>
        </is>
      </c>
      <c r="H4" s="3" t="inlineStr">
        <is>
          <t>Prix achat (EUR)</t>
        </is>
      </c>
      <c r="I4" s="3" t="inlineStr">
        <is>
          <t>Total CHF</t>
        </is>
      </c>
      <c r="J4" s="3" t="inlineStr">
        <is>
          <t>Total EUR</t>
        </is>
      </c>
      <c r="K4" s="3" t="inlineStr">
        <is>
          <t>Origine</t>
        </is>
      </c>
      <c r="L4" s="3" t="inlineStr">
        <is>
          <t>Item Monday</t>
        </is>
      </c>
      <c r="M4" s="3" t="inlineStr">
        <is>
          <t>Remarque</t>
        </is>
      </c>
    </row>
    <row r="5">
      <c r="A5" s="11" t="inlineStr">
        <is>
          <t>France</t>
        </is>
      </c>
      <c r="B5" s="11" t="inlineStr">
        <is>
          <t>BW-0416</t>
        </is>
      </c>
      <c r="C5" s="12" t="inlineStr">
        <is>
          <t>Bracket for Immersion Pump</t>
        </is>
      </c>
      <c r="D5" s="13" t="inlineStr">
        <is>
          <t>110264</t>
        </is>
      </c>
      <c r="E5" s="13" t="inlineStr">
        <is>
          <t>Blupura</t>
        </is>
      </c>
      <c r="F5" s="14" t="n">
        <v>5</v>
      </c>
      <c r="G5" s="15" t="n"/>
      <c r="H5" s="15" t="n"/>
      <c r="I5" s="15">
        <f>IF(N(G5)=0,"",F5*G5)</f>
        <v/>
      </c>
      <c r="J5" s="15">
        <f>IF(N(H5)=0,"",F5*H5)</f>
        <v/>
      </c>
      <c r="K5" s="13" t="inlineStr">
        <is>
          <t>Commande Monday</t>
        </is>
      </c>
      <c r="L5" s="13" t="inlineStr">
        <is>
          <t>12889411743</t>
        </is>
      </c>
      <c r="M5" s="12" t="inlineStr"/>
    </row>
    <row r="6">
      <c r="A6" s="11" t="inlineStr">
        <is>
          <t>France</t>
        </is>
      </c>
      <c r="B6" s="11" t="inlineStr">
        <is>
          <t>BW-0183</t>
        </is>
      </c>
      <c r="C6" s="12" t="inlineStr">
        <is>
          <t>Immersion pump</t>
        </is>
      </c>
      <c r="D6" s="13" t="inlineStr">
        <is>
          <t>810320</t>
        </is>
      </c>
      <c r="E6" s="13" t="inlineStr">
        <is>
          <t>Blupura</t>
        </is>
      </c>
      <c r="F6" s="14" t="n">
        <v>20</v>
      </c>
      <c r="G6" s="15" t="n">
        <v>21</v>
      </c>
      <c r="H6" s="15" t="n">
        <v>10.5</v>
      </c>
      <c r="I6" s="15">
        <f>IF(N(G6)=0,"",F6*G6)</f>
        <v/>
      </c>
      <c r="J6" s="15">
        <f>IF(N(H6)=0,"",F6*H6)</f>
        <v/>
      </c>
      <c r="K6" s="13" t="inlineStr">
        <is>
          <t>Commande Monday</t>
        </is>
      </c>
      <c r="L6" s="13" t="inlineStr">
        <is>
          <t>12889411743</t>
        </is>
      </c>
      <c r="M6" s="12" t="inlineStr"/>
    </row>
    <row r="7">
      <c r="A7" s="11" t="inlineStr">
        <is>
          <t>France</t>
        </is>
      </c>
      <c r="B7" s="11" t="inlineStr">
        <is>
          <t>BW-0184</t>
        </is>
      </c>
      <c r="C7" s="12" t="inlineStr">
        <is>
          <t>Pump 100L/h</t>
        </is>
      </c>
      <c r="D7" s="13" t="inlineStr">
        <is>
          <t>130049</t>
        </is>
      </c>
      <c r="E7" s="13" t="inlineStr">
        <is>
          <t>Blupura</t>
        </is>
      </c>
      <c r="F7" s="14" t="n">
        <v>6</v>
      </c>
      <c r="G7" s="15" t="n">
        <v>121</v>
      </c>
      <c r="H7" s="15" t="n">
        <v>68.59999999999999</v>
      </c>
      <c r="I7" s="15">
        <f>IF(N(G7)=0,"",F7*G7)</f>
        <v/>
      </c>
      <c r="J7" s="15">
        <f>IF(N(H7)=0,"",F7*H7)</f>
        <v/>
      </c>
      <c r="K7" s="13" t="inlineStr">
        <is>
          <t>Commande Monday</t>
        </is>
      </c>
      <c r="L7" s="13" t="inlineStr">
        <is>
          <t>12889411743</t>
        </is>
      </c>
      <c r="M7" s="12" t="inlineStr"/>
    </row>
    <row r="8">
      <c r="A8" s="11" t="inlineStr">
        <is>
          <t>France</t>
        </is>
      </c>
      <c r="B8" s="11" t="inlineStr">
        <is>
          <t>BW-0417</t>
        </is>
      </c>
      <c r="C8" s="12" t="inlineStr">
        <is>
          <t>Motor for pump 100L/h</t>
        </is>
      </c>
      <c r="D8" s="13" t="inlineStr">
        <is>
          <t>130048A</t>
        </is>
      </c>
      <c r="E8" s="13" t="inlineStr">
        <is>
          <t>Blupura</t>
        </is>
      </c>
      <c r="F8" s="14" t="n">
        <v>3</v>
      </c>
      <c r="G8" s="15" t="n"/>
      <c r="H8" s="15" t="n"/>
      <c r="I8" s="15">
        <f>IF(N(G8)=0,"",F8*G8)</f>
        <v/>
      </c>
      <c r="J8" s="15">
        <f>IF(N(H8)=0,"",F8*H8)</f>
        <v/>
      </c>
      <c r="K8" s="13" t="inlineStr">
        <is>
          <t>Commande Monday</t>
        </is>
      </c>
      <c r="L8" s="13" t="inlineStr">
        <is>
          <t>12889411743</t>
        </is>
      </c>
      <c r="M8" s="12" t="inlineStr"/>
    </row>
    <row r="9">
      <c r="A9" s="11" t="inlineStr">
        <is>
          <t>France</t>
        </is>
      </c>
      <c r="B9" s="11" t="inlineStr">
        <is>
          <t>BW-0429</t>
        </is>
      </c>
      <c r="C9" s="12" t="inlineStr">
        <is>
          <t>Ice bank overflow kit</t>
        </is>
      </c>
      <c r="D9" s="13" t="inlineStr">
        <is>
          <t>750019</t>
        </is>
      </c>
      <c r="E9" s="13" t="inlineStr">
        <is>
          <t>Blupura</t>
        </is>
      </c>
      <c r="F9" s="14" t="n">
        <v>30</v>
      </c>
      <c r="G9" s="15" t="n"/>
      <c r="H9" s="15" t="n"/>
      <c r="I9" s="15">
        <f>IF(N(G9)=0,"",F9*G9)</f>
        <v/>
      </c>
      <c r="J9" s="15">
        <f>IF(N(H9)=0,"",F9*H9)</f>
        <v/>
      </c>
      <c r="K9" s="13" t="inlineStr">
        <is>
          <t>Commande Monday</t>
        </is>
      </c>
      <c r="L9" s="13" t="inlineStr">
        <is>
          <t>12889411743</t>
        </is>
      </c>
      <c r="M9" s="12" t="inlineStr"/>
    </row>
    <row r="10">
      <c r="A10" s="11" t="inlineStr">
        <is>
          <t>France</t>
        </is>
      </c>
      <c r="B10" s="11" t="inlineStr">
        <is>
          <t>BW-0421</t>
        </is>
      </c>
      <c r="C10" s="12" t="inlineStr">
        <is>
          <t>Foot pvc</t>
        </is>
      </c>
      <c r="D10" s="13" t="inlineStr">
        <is>
          <t>140118</t>
        </is>
      </c>
      <c r="E10" s="13" t="inlineStr">
        <is>
          <t>Blupura</t>
        </is>
      </c>
      <c r="F10" s="14" t="n">
        <v>30</v>
      </c>
      <c r="G10" s="15" t="n"/>
      <c r="H10" s="15" t="n"/>
      <c r="I10" s="15">
        <f>IF(N(G10)=0,"",F10*G10)</f>
        <v/>
      </c>
      <c r="J10" s="15">
        <f>IF(N(H10)=0,"",F10*H10)</f>
        <v/>
      </c>
      <c r="K10" s="13" t="inlineStr">
        <is>
          <t>Commande Monday</t>
        </is>
      </c>
      <c r="L10" s="13" t="inlineStr">
        <is>
          <t>12889411743</t>
        </is>
      </c>
      <c r="M10" s="12" t="inlineStr"/>
    </row>
    <row r="11">
      <c r="A11" s="11" t="inlineStr">
        <is>
          <t>France</t>
        </is>
      </c>
      <c r="B11" s="11" t="inlineStr">
        <is>
          <t>BW-0419</t>
        </is>
      </c>
      <c r="C11" s="12" t="inlineStr">
        <is>
          <t>Cover box 80</t>
        </is>
      </c>
      <c r="D11" s="13" t="inlineStr">
        <is>
          <t>110138</t>
        </is>
      </c>
      <c r="E11" s="13" t="inlineStr">
        <is>
          <t>Blupura</t>
        </is>
      </c>
      <c r="F11" s="14" t="n">
        <v>2</v>
      </c>
      <c r="G11" s="15" t="n"/>
      <c r="H11" s="15" t="n"/>
      <c r="I11" s="15">
        <f>IF(N(G11)=0,"",F11*G11)</f>
        <v/>
      </c>
      <c r="J11" s="15">
        <f>IF(N(H11)=0,"",F11*H11)</f>
        <v/>
      </c>
      <c r="K11" s="13" t="inlineStr">
        <is>
          <t>Commande Monday</t>
        </is>
      </c>
      <c r="L11" s="13" t="inlineStr">
        <is>
          <t>12889411743</t>
        </is>
      </c>
      <c r="M11" s="12" t="inlineStr"/>
    </row>
    <row r="12">
      <c r="A12" s="11" t="inlineStr">
        <is>
          <t>France</t>
        </is>
      </c>
      <c r="B12" s="11" t="inlineStr">
        <is>
          <t>BW-0420</t>
        </is>
      </c>
      <c r="C12" s="12" t="inlineStr">
        <is>
          <t>Casing box 80</t>
        </is>
      </c>
      <c r="D12" s="13" t="inlineStr">
        <is>
          <t>110137</t>
        </is>
      </c>
      <c r="E12" s="13" t="inlineStr">
        <is>
          <t>Blupura</t>
        </is>
      </c>
      <c r="F12" s="14" t="n">
        <v>2</v>
      </c>
      <c r="G12" s="15" t="n"/>
      <c r="H12" s="15" t="n"/>
      <c r="I12" s="15">
        <f>IF(N(G12)=0,"",F12*G12)</f>
        <v/>
      </c>
      <c r="J12" s="15">
        <f>IF(N(H12)=0,"",F12*H12)</f>
        <v/>
      </c>
      <c r="K12" s="13" t="inlineStr">
        <is>
          <t>Commande Monday</t>
        </is>
      </c>
      <c r="L12" s="13" t="inlineStr">
        <is>
          <t>12889411743</t>
        </is>
      </c>
      <c r="M12" s="12" t="inlineStr"/>
    </row>
    <row r="13">
      <c r="A13" s="11" t="inlineStr">
        <is>
          <t>France</t>
        </is>
      </c>
      <c r="B13" s="11" t="inlineStr">
        <is>
          <t>BW-0428</t>
        </is>
      </c>
      <c r="C13" s="12" t="inlineStr">
        <is>
          <t>Spring type cable grand</t>
        </is>
      </c>
      <c r="D13" s="13" t="inlineStr">
        <is>
          <t>150052</t>
        </is>
      </c>
      <c r="E13" s="13" t="inlineStr">
        <is>
          <t>Blupura</t>
        </is>
      </c>
      <c r="F13" s="14" t="n">
        <v>10</v>
      </c>
      <c r="G13" s="15" t="n"/>
      <c r="H13" s="15" t="n"/>
      <c r="I13" s="15">
        <f>IF(N(G13)=0,"",F13*G13)</f>
        <v/>
      </c>
      <c r="J13" s="15">
        <f>IF(N(H13)=0,"",F13*H13)</f>
        <v/>
      </c>
      <c r="K13" s="13" t="inlineStr">
        <is>
          <t>Commande Monday</t>
        </is>
      </c>
      <c r="L13" s="13" t="inlineStr">
        <is>
          <t>12889411743</t>
        </is>
      </c>
      <c r="M13" s="12" t="inlineStr"/>
    </row>
    <row r="14">
      <c r="A14" s="11" t="inlineStr">
        <is>
          <t>France</t>
        </is>
      </c>
      <c r="B14" s="11" t="inlineStr">
        <is>
          <t>BW-0186</t>
        </is>
      </c>
      <c r="C14" s="12" t="inlineStr">
        <is>
          <t>Cold thermostat - ice bank</t>
        </is>
      </c>
      <c r="D14" s="13" t="inlineStr">
        <is>
          <t>150031</t>
        </is>
      </c>
      <c r="E14" s="13" t="inlineStr">
        <is>
          <t>Blupura</t>
        </is>
      </c>
      <c r="F14" s="14" t="n">
        <v>20</v>
      </c>
      <c r="G14" s="15" t="n">
        <v>24</v>
      </c>
      <c r="H14" s="15" t="n">
        <v>12.2</v>
      </c>
      <c r="I14" s="15">
        <f>IF(N(G14)=0,"",F14*G14)</f>
        <v/>
      </c>
      <c r="J14" s="15">
        <f>IF(N(H14)=0,"",F14*H14)</f>
        <v/>
      </c>
      <c r="K14" s="13" t="inlineStr">
        <is>
          <t>Commande Monday</t>
        </is>
      </c>
      <c r="L14" s="13" t="inlineStr">
        <is>
          <t>12889411743</t>
        </is>
      </c>
      <c r="M14" s="12" t="inlineStr"/>
    </row>
    <row r="15">
      <c r="A15" s="11" t="inlineStr">
        <is>
          <t>France</t>
        </is>
      </c>
      <c r="B15" s="11" t="inlineStr">
        <is>
          <t>BW-0424</t>
        </is>
      </c>
      <c r="C15" s="12" t="inlineStr">
        <is>
          <t>Bulkhead 8 mm</t>
        </is>
      </c>
      <c r="D15" s="13" t="inlineStr">
        <is>
          <t>140099</t>
        </is>
      </c>
      <c r="E15" s="13" t="inlineStr">
        <is>
          <t>Blupura</t>
        </is>
      </c>
      <c r="F15" s="14" t="n">
        <v>10</v>
      </c>
      <c r="G15" s="15" t="n"/>
      <c r="H15" s="15" t="n"/>
      <c r="I15" s="15">
        <f>IF(N(G15)=0,"",F15*G15)</f>
        <v/>
      </c>
      <c r="J15" s="15">
        <f>IF(N(H15)=0,"",F15*H15)</f>
        <v/>
      </c>
      <c r="K15" s="13" t="inlineStr">
        <is>
          <t>Commande Monday</t>
        </is>
      </c>
      <c r="L15" s="13" t="inlineStr">
        <is>
          <t>12889411743</t>
        </is>
      </c>
      <c r="M15" s="12" t="inlineStr"/>
    </row>
    <row r="16">
      <c r="A16" s="11" t="inlineStr">
        <is>
          <t>France</t>
        </is>
      </c>
      <c r="B16" s="11" t="inlineStr">
        <is>
          <t>BW-0425</t>
        </is>
      </c>
      <c r="C16" s="12" t="inlineStr">
        <is>
          <t>Iec socket</t>
        </is>
      </c>
      <c r="D16" s="13" t="inlineStr">
        <is>
          <t>150094</t>
        </is>
      </c>
      <c r="E16" s="13" t="inlineStr">
        <is>
          <t>Blupura</t>
        </is>
      </c>
      <c r="F16" s="14" t="n">
        <v>5</v>
      </c>
      <c r="G16" s="15" t="n"/>
      <c r="H16" s="15" t="n"/>
      <c r="I16" s="15">
        <f>IF(N(G16)=0,"",F16*G16)</f>
        <v/>
      </c>
      <c r="J16" s="15">
        <f>IF(N(H16)=0,"",F16*H16)</f>
        <v/>
      </c>
      <c r="K16" s="13" t="inlineStr">
        <is>
          <t>Commande Monday</t>
        </is>
      </c>
      <c r="L16" s="13" t="inlineStr">
        <is>
          <t>12889411743</t>
        </is>
      </c>
      <c r="M16" s="12" t="inlineStr"/>
    </row>
    <row r="17">
      <c r="A17" s="11" t="inlineStr">
        <is>
          <t>France</t>
        </is>
      </c>
      <c r="B17" s="11" t="inlineStr">
        <is>
          <t>BW-0426</t>
        </is>
      </c>
      <c r="C17" s="12" t="inlineStr">
        <is>
          <t>General power switch</t>
        </is>
      </c>
      <c r="D17" s="13" t="inlineStr">
        <is>
          <t>150072</t>
        </is>
      </c>
      <c r="E17" s="13" t="inlineStr">
        <is>
          <t>Blupura</t>
        </is>
      </c>
      <c r="F17" s="14" t="n">
        <v>5</v>
      </c>
      <c r="G17" s="15" t="n"/>
      <c r="H17" s="15" t="n"/>
      <c r="I17" s="15">
        <f>IF(N(G17)=0,"",F17*G17)</f>
        <v/>
      </c>
      <c r="J17" s="15">
        <f>IF(N(H17)=0,"",F17*H17)</f>
        <v/>
      </c>
      <c r="K17" s="13" t="inlineStr">
        <is>
          <t>Commande Monday</t>
        </is>
      </c>
      <c r="L17" s="13" t="inlineStr">
        <is>
          <t>12889411743</t>
        </is>
      </c>
      <c r="M17" s="12" t="inlineStr"/>
    </row>
    <row r="18">
      <c r="A18" s="11" t="inlineStr">
        <is>
          <t>France</t>
        </is>
      </c>
      <c r="B18" s="11" t="inlineStr">
        <is>
          <t>BW-0195</t>
        </is>
      </c>
      <c r="C18" s="12" t="inlineStr">
        <is>
          <t>Fan 120x120x38</t>
        </is>
      </c>
      <c r="D18" s="13" t="inlineStr">
        <is>
          <t>750243</t>
        </is>
      </c>
      <c r="E18" s="13" t="inlineStr">
        <is>
          <t>Blupura</t>
        </is>
      </c>
      <c r="F18" s="14" t="n">
        <v>5</v>
      </c>
      <c r="G18" s="15" t="n">
        <v>40</v>
      </c>
      <c r="H18" s="15" t="n">
        <v>21.6</v>
      </c>
      <c r="I18" s="15">
        <f>IF(N(G18)=0,"",F18*G18)</f>
        <v/>
      </c>
      <c r="J18" s="15">
        <f>IF(N(H18)=0,"",F18*H18)</f>
        <v/>
      </c>
      <c r="K18" s="13" t="inlineStr">
        <is>
          <t>Commande Monday</t>
        </is>
      </c>
      <c r="L18" s="13" t="inlineStr">
        <is>
          <t>12889411743</t>
        </is>
      </c>
      <c r="M18" s="12" t="inlineStr"/>
    </row>
    <row r="19">
      <c r="A19" s="11" t="inlineStr">
        <is>
          <t>France</t>
        </is>
      </c>
      <c r="B19" s="16" t="inlineStr"/>
      <c r="C19" s="12" t="inlineStr">
        <is>
          <t>Compresseur / recharge gaz BOX 80</t>
        </is>
      </c>
      <c r="D19" s="13" t="inlineStr">
        <is>
          <t>—</t>
        </is>
      </c>
      <c r="E19" s="13" t="inlineStr">
        <is>
          <t>—</t>
        </is>
      </c>
      <c r="F19" s="14" t="n">
        <v>1</v>
      </c>
      <c r="G19" s="15" t="n"/>
      <c r="H19" s="15" t="n"/>
      <c r="I19" s="15">
        <f>IF(N(G19)=0,"",F19*G19)</f>
        <v/>
      </c>
      <c r="J19" s="15">
        <f>IF(N(H19)=0,"",F19*H19)</f>
        <v/>
      </c>
      <c r="K19" s="13" t="inlineStr">
        <is>
          <t>Claim ouvert</t>
        </is>
      </c>
      <c r="L19" s="13" t="inlineStr">
        <is>
          <t>12759710752</t>
        </is>
      </c>
      <c r="M19" s="17" t="inlineStr">
        <is>
          <t>Aucun compresseur au référentiel BOX 80 — SKU à créer</t>
        </is>
      </c>
    </row>
    <row r="20">
      <c r="A20" s="11" t="inlineStr">
        <is>
          <t>France</t>
        </is>
      </c>
      <c r="B20" s="16" t="inlineStr"/>
      <c r="C20" s="12" t="inlineStr">
        <is>
          <t>Électrovanne d'entrée BOX 80</t>
        </is>
      </c>
      <c r="D20" s="13" t="inlineStr">
        <is>
          <t>—</t>
        </is>
      </c>
      <c r="E20" s="13" t="inlineStr">
        <is>
          <t>—</t>
        </is>
      </c>
      <c r="F20" s="14" t="n">
        <v>1</v>
      </c>
      <c r="G20" s="15" t="n"/>
      <c r="H20" s="15" t="n"/>
      <c r="I20" s="15">
        <f>IF(N(G20)=0,"",F20*G20)</f>
        <v/>
      </c>
      <c r="J20" s="15">
        <f>IF(N(H20)=0,"",F20*H20)</f>
        <v/>
      </c>
      <c r="K20" s="13" t="inlineStr">
        <is>
          <t>Claim ouvert</t>
        </is>
      </c>
      <c r="L20" s="13" t="inlineStr">
        <is>
          <t>12759640381</t>
        </is>
      </c>
      <c r="M20" s="17" t="inlineStr">
        <is>
          <t>Aucune électrovanne d'entrée au référentiel BOX 80 — SKU à créer</t>
        </is>
      </c>
    </row>
    <row r="21">
      <c r="A21" s="11" t="inlineStr">
        <is>
          <t>Suisse</t>
        </is>
      </c>
      <c r="B21" s="16" t="inlineStr"/>
      <c r="C21" s="12" t="inlineStr">
        <is>
          <t>Ventilateur BOX 20 / BOX 15 (Blupura 750244)</t>
        </is>
      </c>
      <c r="D21" s="13" t="inlineStr">
        <is>
          <t>750244</t>
        </is>
      </c>
      <c r="E21" s="13" t="inlineStr">
        <is>
          <t>Blupura</t>
        </is>
      </c>
      <c r="F21" s="14" t="n">
        <v>30</v>
      </c>
      <c r="G21" s="15" t="n"/>
      <c r="H21" s="15" t="n">
        <v>22.5</v>
      </c>
      <c r="I21" s="15">
        <f>IF(N(G21)=0,"",F21*G21)</f>
        <v/>
      </c>
      <c r="J21" s="15">
        <f>IF(N(H21)=0,"",F21*H21)</f>
        <v/>
      </c>
      <c r="K21" s="13" t="inlineStr">
        <is>
          <t>Commande Monday</t>
        </is>
      </c>
      <c r="L21" s="13" t="inlineStr">
        <is>
          <t>12889827793</t>
        </is>
      </c>
      <c r="M21" s="17" t="inlineStr">
        <is>
          <t>Choix validé : Blupura 750244 à 22,50 EUR. Pas de SKU BW — à créer.</t>
        </is>
      </c>
    </row>
    <row r="22">
      <c r="A22" s="11" t="inlineStr">
        <is>
          <t>Suisse</t>
        </is>
      </c>
      <c r="B22" s="11" t="inlineStr">
        <is>
          <t>BW-0301</t>
        </is>
      </c>
      <c r="C22" s="12" t="inlineStr">
        <is>
          <t>PRO2 Power adapter 230V/24VDC 1.5A (Type A)</t>
        </is>
      </c>
      <c r="D22" s="13" t="inlineStr">
        <is>
          <t>174391</t>
        </is>
      </c>
      <c r="E22" s="13" t="inlineStr">
        <is>
          <t>Borg&amp;Overström</t>
        </is>
      </c>
      <c r="F22" s="14" t="n">
        <v>20</v>
      </c>
      <c r="G22" s="15" t="n">
        <v>40</v>
      </c>
      <c r="H22" s="15" t="n"/>
      <c r="I22" s="15">
        <f>IF(N(G22)=0,"",F22*G22)</f>
        <v/>
      </c>
      <c r="J22" s="15">
        <f>IF(N(H22)=0,"",F22*H22)</f>
        <v/>
      </c>
      <c r="K22" s="13" t="inlineStr">
        <is>
          <t>Commande Monday</t>
        </is>
      </c>
      <c r="L22" s="13" t="inlineStr">
        <is>
          <t>12889827793</t>
        </is>
      </c>
      <c r="M22" s="17" t="inlineStr">
        <is>
          <t>Demandé en 230-12V ; BW-0301 est en 230V/24VDC. Choix validé.</t>
        </is>
      </c>
    </row>
    <row r="23">
      <c r="A23" s="11" t="inlineStr">
        <is>
          <t>Suisse</t>
        </is>
      </c>
      <c r="B23" s="11" t="inlineStr">
        <is>
          <t>BW-0507</t>
        </is>
      </c>
      <c r="C23" s="12" t="inlineStr">
        <is>
          <t>PRO2 - Drip Tray Set without drainage black</t>
        </is>
      </c>
      <c r="D23" s="13" t="inlineStr">
        <is>
          <t>125840</t>
        </is>
      </c>
      <c r="E23" s="13" t="inlineStr">
        <is>
          <t>Borg&amp;Overström</t>
        </is>
      </c>
      <c r="F23" s="14" t="n">
        <v>15</v>
      </c>
      <c r="G23" s="15" t="n"/>
      <c r="H23" s="15" t="n"/>
      <c r="I23" s="15">
        <f>IF(N(G23)=0,"",F23*G23)</f>
        <v/>
      </c>
      <c r="J23" s="15">
        <f>IF(N(H23)=0,"",F23*H23)</f>
        <v/>
      </c>
      <c r="K23" s="13" t="inlineStr">
        <is>
          <t>Commande Monday</t>
        </is>
      </c>
      <c r="L23" s="13" t="inlineStr">
        <is>
          <t>12889827793</t>
        </is>
      </c>
      <c r="M23" s="17" t="inlineStr">
        <is>
          <t>Ligne dupliquée dans Monday — 15 retenu.</t>
        </is>
      </c>
    </row>
    <row r="24">
      <c r="A24" s="11" t="inlineStr">
        <is>
          <t>Suisse</t>
        </is>
      </c>
      <c r="B24" s="11" t="inlineStr">
        <is>
          <t>BW-0164</t>
        </is>
      </c>
      <c r="C24" s="12" t="inlineStr">
        <is>
          <t>PRO1 - PCB Control board - A</t>
        </is>
      </c>
      <c r="D24" s="13" t="inlineStr">
        <is>
          <t>637107</t>
        </is>
      </c>
      <c r="E24" s="13" t="inlineStr">
        <is>
          <t>Borg&amp;Overström</t>
        </is>
      </c>
      <c r="F24" s="14" t="n">
        <v>20</v>
      </c>
      <c r="G24" s="15" t="n">
        <v>195</v>
      </c>
      <c r="H24" s="15" t="n"/>
      <c r="I24" s="15">
        <f>IF(N(G24)=0,"",F24*G24)</f>
        <v/>
      </c>
      <c r="J24" s="15">
        <f>IF(N(H24)=0,"",F24*H24)</f>
        <v/>
      </c>
      <c r="K24" s="13" t="inlineStr">
        <is>
          <t>Commande Monday</t>
        </is>
      </c>
      <c r="L24" s="13" t="inlineStr">
        <is>
          <t>12889827793</t>
        </is>
      </c>
      <c r="M24" s="17" t="inlineStr">
        <is>
          <t>Ligne dupliquée dans Monday — 20 retenu.</t>
        </is>
      </c>
    </row>
    <row r="25">
      <c r="A25" s="11" t="inlineStr">
        <is>
          <t>Suisse</t>
        </is>
      </c>
      <c r="B25" s="16" t="inlineStr"/>
      <c r="C25" s="12" t="inlineStr">
        <is>
          <t>Sonde BOX PRO2 V2</t>
        </is>
      </c>
      <c r="D25" s="13" t="inlineStr">
        <is>
          <t>—</t>
        </is>
      </c>
      <c r="E25" s="13" t="inlineStr">
        <is>
          <t>—</t>
        </is>
      </c>
      <c r="F25" s="14" t="n">
        <v>20</v>
      </c>
      <c r="G25" s="15" t="n"/>
      <c r="H25" s="15" t="n"/>
      <c r="I25" s="15">
        <f>IF(N(G25)=0,"",F25*G25)</f>
        <v/>
      </c>
      <c r="J25" s="15">
        <f>IF(N(H25)=0,"",F25*H25)</f>
        <v/>
      </c>
      <c r="K25" s="13" t="inlineStr">
        <is>
          <t>Commande Monday</t>
        </is>
      </c>
      <c r="L25" s="13" t="inlineStr">
        <is>
          <t>12889827793</t>
        </is>
      </c>
      <c r="M25" s="17" t="inlineStr">
        <is>
          <t>Aucune sonde PRO2 au référentiel — SKU à renseigner.</t>
        </is>
      </c>
    </row>
    <row r="26">
      <c r="A26" s="11" t="inlineStr">
        <is>
          <t>Suisse</t>
        </is>
      </c>
      <c r="B26" s="11" t="inlineStr">
        <is>
          <t>BW-0179</t>
        </is>
      </c>
      <c r="C26" s="12" t="inlineStr">
        <is>
          <t>PRO2 Solenoids</t>
        </is>
      </c>
      <c r="D26" s="13" t="inlineStr">
        <is>
          <t>173241</t>
        </is>
      </c>
      <c r="E26" s="13" t="inlineStr">
        <is>
          <t>Borg&amp;Overström</t>
        </is>
      </c>
      <c r="F26" s="14" t="n">
        <v>1</v>
      </c>
      <c r="G26" s="15" t="n">
        <v>22</v>
      </c>
      <c r="H26" s="15" t="n"/>
      <c r="I26" s="15">
        <f>IF(N(G26)=0,"",F26*G26)</f>
        <v/>
      </c>
      <c r="J26" s="15">
        <f>IF(N(H26)=0,"",F26*H26)</f>
        <v/>
      </c>
      <c r="K26" s="13" t="inlineStr">
        <is>
          <t>Claim ouvert</t>
        </is>
      </c>
      <c r="L26" s="13" t="inlineStr">
        <is>
          <t>12217762646</t>
        </is>
      </c>
      <c r="M26" s="17" t="inlineStr">
        <is>
          <t>Diagnostic technicien : « il faut sûrement changer l'électrovanne ».</t>
        </is>
      </c>
    </row>
    <row r="27">
      <c r="A27" s="11" t="inlineStr">
        <is>
          <t>Suisse</t>
        </is>
      </c>
      <c r="B27" s="11" t="inlineStr">
        <is>
          <t>BW-0974</t>
        </is>
      </c>
      <c r="C27" s="12" t="inlineStr">
        <is>
          <t>Gearbox - Hat without handle (x5)</t>
        </is>
      </c>
      <c r="D27" s="13" t="inlineStr">
        <is>
          <t>P040038</t>
        </is>
      </c>
      <c r="E27" s="13" t="inlineStr">
        <is>
          <t>—</t>
        </is>
      </c>
      <c r="F27" s="14" t="n">
        <v>1</v>
      </c>
      <c r="G27" s="15" t="n"/>
      <c r="H27" s="15" t="n"/>
      <c r="I27" s="15">
        <f>IF(N(G27)=0,"",F27*G27)</f>
        <v/>
      </c>
      <c r="J27" s="15">
        <f>IF(N(H27)=0,"",F27*H27)</f>
        <v/>
      </c>
      <c r="K27" s="13" t="inlineStr">
        <is>
          <t>Claim ouvert</t>
        </is>
      </c>
      <c r="L27" s="13" t="inlineStr">
        <is>
          <t>12345567586</t>
        </is>
      </c>
      <c r="M27" s="17" t="inlineStr">
        <is>
          <t>« Fuite au chapeau de la gearbox » — BW-0974 = hat. Conditionné par 5.</t>
        </is>
      </c>
    </row>
    <row r="28">
      <c r="A28" s="11" t="inlineStr">
        <is>
          <t>Suisse</t>
        </is>
      </c>
      <c r="B28" s="11" t="inlineStr">
        <is>
          <t>BW-0994</t>
        </is>
      </c>
      <c r="C28" s="12" t="inlineStr">
        <is>
          <t>Outer casing / cabinet, black</t>
        </is>
      </c>
      <c r="D28" s="13" t="inlineStr">
        <is>
          <t>—</t>
        </is>
      </c>
      <c r="E28" s="13" t="inlineStr">
        <is>
          <t>—</t>
        </is>
      </c>
      <c r="F28" s="14" t="n">
        <v>1</v>
      </c>
      <c r="G28" s="15" t="n"/>
      <c r="H28" s="15" t="n"/>
      <c r="I28" s="15">
        <f>IF(N(G28)=0,"",F28*G28)</f>
        <v/>
      </c>
      <c r="J28" s="15">
        <f>IF(N(H28)=0,"",F28*H28)</f>
        <v/>
      </c>
      <c r="K28" s="13" t="inlineStr">
        <is>
          <t>Claim ouvert</t>
        </is>
      </c>
      <c r="L28" s="13" t="inlineStr">
        <is>
          <t>12891544139</t>
        </is>
      </c>
      <c r="M28" s="17" t="inlineStr">
        <is>
          <t>« Carrosserie HS ». Pièce BOX 20 absente de la base prix 2022.</t>
        </is>
      </c>
    </row>
    <row r="29">
      <c r="A29" s="11" t="inlineStr">
        <is>
          <t>Suisse</t>
        </is>
      </c>
      <c r="B29" s="16" t="inlineStr"/>
      <c r="C29" s="12" t="inlineStr">
        <is>
          <t>Bouton BAR2 (position haut-droite)</t>
        </is>
      </c>
      <c r="D29" s="13" t="inlineStr">
        <is>
          <t>—</t>
        </is>
      </c>
      <c r="E29" s="13" t="inlineStr">
        <is>
          <t>—</t>
        </is>
      </c>
      <c r="F29" s="14" t="n">
        <v>1</v>
      </c>
      <c r="G29" s="15" t="n"/>
      <c r="H29" s="15" t="n"/>
      <c r="I29" s="15">
        <f>IF(N(G29)=0,"",F29*G29)</f>
        <v/>
      </c>
      <c r="J29" s="15">
        <f>IF(N(H29)=0,"",F29*H29)</f>
        <v/>
      </c>
      <c r="K29" s="13" t="inlineStr">
        <is>
          <t>Claim ouvert</t>
        </is>
      </c>
      <c r="L29" s="13" t="inlineStr">
        <is>
          <t>12498897081</t>
        </is>
      </c>
      <c r="M29" s="17" t="inlineStr">
        <is>
          <t>4 boutons BAR2 possibles (810695-810698) — position à préciser.</t>
        </is>
      </c>
    </row>
    <row r="30">
      <c r="A30" s="11" t="inlineStr">
        <is>
          <t>Suisse</t>
        </is>
      </c>
      <c r="B30" s="16" t="inlineStr"/>
      <c r="C30" s="12" t="inlineStr">
        <is>
          <t>Fuite CO2 BOX 20 — pièce à identifier</t>
        </is>
      </c>
      <c r="D30" s="13" t="inlineStr">
        <is>
          <t>—</t>
        </is>
      </c>
      <c r="E30" s="13" t="inlineStr">
        <is>
          <t>—</t>
        </is>
      </c>
      <c r="F30" s="14" t="n">
        <v>1</v>
      </c>
      <c r="G30" s="15" t="n"/>
      <c r="H30" s="15" t="n"/>
      <c r="I30" s="15">
        <f>IF(N(G30)=0,"",F30*G30)</f>
        <v/>
      </c>
      <c r="J30" s="15">
        <f>IF(N(H30)=0,"",F30*H30)</f>
        <v/>
      </c>
      <c r="K30" s="13" t="inlineStr">
        <is>
          <t>Claim ouvert</t>
        </is>
      </c>
      <c r="L30" s="13" t="inlineStr">
        <is>
          <t>12891695968</t>
        </is>
      </c>
      <c r="M30" s="17" t="inlineStr">
        <is>
          <t>Fuite long terme, pièce non diagnostiquée.</t>
        </is>
      </c>
    </row>
    <row r="31">
      <c r="A31" s="11" t="inlineStr">
        <is>
          <t>UK</t>
        </is>
      </c>
      <c r="B31" s="11" t="inlineStr">
        <is>
          <t>BW-0295</t>
        </is>
      </c>
      <c r="C31" s="12" t="inlineStr">
        <is>
          <t>BAR2 - Drip tray</t>
        </is>
      </c>
      <c r="D31" s="13" t="inlineStr">
        <is>
          <t>750309</t>
        </is>
      </c>
      <c r="E31" s="13" t="inlineStr">
        <is>
          <t>Blupura</t>
        </is>
      </c>
      <c r="F31" s="14" t="n">
        <v>1</v>
      </c>
      <c r="G31" s="15" t="n">
        <v>90</v>
      </c>
      <c r="H31" s="15" t="n"/>
      <c r="I31" s="15">
        <f>IF(N(G31)=0,"",F31*G31)</f>
        <v/>
      </c>
      <c r="J31" s="15">
        <f>IF(N(H31)=0,"",F31*H31)</f>
        <v/>
      </c>
      <c r="K31" s="13" t="inlineStr">
        <is>
          <t>Claim ouvert</t>
        </is>
      </c>
      <c r="L31" s="13" t="inlineStr">
        <is>
          <t>12232314055</t>
        </is>
      </c>
      <c r="M31" s="17" t="inlineStr">
        <is>
          <t>« Drip tray cracked and leaking ».</t>
        </is>
      </c>
    </row>
    <row r="32">
      <c r="A32" s="11" t="inlineStr">
        <is>
          <t>Émirats</t>
        </is>
      </c>
      <c r="B32" s="11" t="inlineStr">
        <is>
          <t>BW-0172</t>
        </is>
      </c>
      <c r="C32" s="12" t="inlineStr">
        <is>
          <t>8mm PRV</t>
        </is>
      </c>
      <c r="D32" s="13" t="inlineStr">
        <is>
          <t>701076</t>
        </is>
      </c>
      <c r="E32" s="13" t="inlineStr">
        <is>
          <t>Borg&amp;Overström</t>
        </is>
      </c>
      <c r="F32" s="14" t="n">
        <v>1</v>
      </c>
      <c r="G32" s="15" t="n">
        <v>13</v>
      </c>
      <c r="H32" s="15" t="n"/>
      <c r="I32" s="15">
        <f>IF(N(G32)=0,"",F32*G32)</f>
        <v/>
      </c>
      <c r="J32" s="15">
        <f>IF(N(H32)=0,"",F32*H32)</f>
        <v/>
      </c>
      <c r="K32" s="13" t="inlineStr">
        <is>
          <t>Claim ouvert</t>
        </is>
      </c>
      <c r="L32" s="13" t="inlineStr">
        <is>
          <t>18083626539</t>
        </is>
      </c>
      <c r="M32" s="17" t="inlineStr">
        <is>
          <t>« Release pressure valve — new spare part needed ».</t>
        </is>
      </c>
    </row>
    <row r="33">
      <c r="A33" s="11" t="inlineStr">
        <is>
          <t>Émirats</t>
        </is>
      </c>
      <c r="B33" s="16" t="inlineStr"/>
      <c r="C33" s="12" t="inlineStr">
        <is>
          <t>Spare parts manual capper (Tower)</t>
        </is>
      </c>
      <c r="D33" s="13" t="inlineStr">
        <is>
          <t>—</t>
        </is>
      </c>
      <c r="E33" s="13" t="inlineStr">
        <is>
          <t>—</t>
        </is>
      </c>
      <c r="F33" s="14" t="n">
        <v>1</v>
      </c>
      <c r="G33" s="15" t="n"/>
      <c r="H33" s="15" t="n"/>
      <c r="I33" s="15">
        <f>IF(N(G33)=0,"",F33*G33)</f>
        <v/>
      </c>
      <c r="J33" s="15">
        <f>IF(N(H33)=0,"",F33*H33)</f>
        <v/>
      </c>
      <c r="K33" s="13" t="inlineStr">
        <is>
          <t>Claim ouvert</t>
        </is>
      </c>
      <c r="L33" s="13" t="inlineStr">
        <is>
          <t>10943979984</t>
        </is>
      </c>
      <c r="M33" s="17" t="inlineStr">
        <is>
          <t>Machine Tower / capper hors référentiel — SKU à créer.</t>
        </is>
      </c>
    </row>
    <row r="34">
      <c r="A34" s="6" t="inlineStr">
        <is>
          <t>TOTAL</t>
        </is>
      </c>
      <c r="B34" s="18" t="n"/>
      <c r="C34" s="18" t="n"/>
      <c r="D34" s="18" t="n"/>
      <c r="E34" s="18" t="n"/>
      <c r="F34" s="7">
        <f>SUM(F5:F33)</f>
        <v/>
      </c>
      <c r="G34" s="18" t="n"/>
      <c r="H34" s="18" t="n"/>
      <c r="I34" s="19">
        <f>SUM(I5:I33)</f>
        <v/>
      </c>
      <c r="J34" s="19">
        <f>SUM(J5:J33)</f>
        <v/>
      </c>
      <c r="K34" s="18" t="n"/>
      <c r="L34" s="18" t="n"/>
      <c r="M34" s="6">
        <f>COUNTBLANK(B5:B33)&amp;" SKU à renseigner"</f>
        <v/>
      </c>
    </row>
    <row r="36">
      <c r="A36" s="2" t="inlineStr">
        <is>
          <t>Cellule SKU grisée : pièce identifiée mais sans référence BE WTR — à créer ou à faire préciser avant commande.</t>
        </is>
      </c>
    </row>
    <row r="37">
      <c r="A37" s="2" t="inlineStr">
        <is>
          <t>Prix cat. (CHF) = prix catalogue BE WTR, base septembre 2022. Prix achat (EUR) = liste fournisseur Blupura 2022. Vide = prix non publié (« AS* ») : devis fournisseur nécessaire.</t>
        </is>
      </c>
    </row>
    <row r="38">
      <c r="A38" s="2" t="inlineStr">
        <is>
          <t>Bleu = quantité issue de Monday. Noir = donnée du référentiel ou calcul.</t>
        </is>
      </c>
    </row>
  </sheetData>
  <autoFilter ref="A4:M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1" customWidth="1" min="4" max="4"/>
    <col width="16" customWidth="1" min="5" max="5"/>
    <col width="32" customWidth="1" min="6" max="6"/>
    <col width="52" customWidth="1" min="7" max="7"/>
    <col width="30" customWidth="1" min="8" max="8"/>
    <col width="30" customWidth="1" min="9" max="9"/>
  </cols>
  <sheetData>
    <row r="1">
      <c r="A1" s="1" t="inlineStr">
        <is>
          <t>Vérification des 53 lignes ouvertes du Monday</t>
        </is>
      </c>
    </row>
    <row r="2">
      <c r="A2" s="2" t="inlineStr">
        <is>
          <t>Statuts non clôturés au 26.08.2026 : New (to repair) 47, In progress 3, At supplier 2, Stucked 1.</t>
        </is>
      </c>
    </row>
    <row r="4" ht="32" customHeight="1">
      <c r="A4" s="3" t="inlineStr">
        <is>
          <t>Item</t>
        </is>
      </c>
      <c r="B4" s="3" t="inlineStr">
        <is>
          <t>Pays</t>
        </is>
      </c>
      <c r="C4" s="3" t="inlineStr">
        <is>
          <t>Produit</t>
        </is>
      </c>
      <c r="D4" s="3" t="inlineStr">
        <is>
          <t>Date</t>
        </is>
      </c>
      <c r="E4" s="3" t="inlineStr">
        <is>
          <t>Statut</t>
        </is>
      </c>
      <c r="F4" s="3" t="inlineStr">
        <is>
          <t>Sujet</t>
        </is>
      </c>
      <c r="G4" s="3" t="inlineStr">
        <is>
          <t>Description</t>
        </is>
      </c>
      <c r="H4" s="3" t="inlineStr">
        <is>
          <t>Verdict</t>
        </is>
      </c>
      <c r="I4" s="3" t="inlineStr">
        <is>
          <t>Pièce retenue</t>
        </is>
      </c>
    </row>
    <row r="5">
      <c r="A5" s="13" t="inlineStr">
        <is>
          <t>12889411743</t>
        </is>
      </c>
      <c r="B5" s="11" t="inlineStr">
        <is>
          <t>France</t>
        </is>
      </c>
      <c r="C5" s="13" t="inlineStr">
        <is>
          <t>BW-0001 BOX 80</t>
        </is>
      </c>
      <c r="D5" s="13" t="inlineStr">
        <is>
          <t>2026-08-25</t>
        </is>
      </c>
      <c r="E5" s="13" t="inlineStr">
        <is>
          <t>New (to repair)</t>
        </is>
      </c>
      <c r="F5" s="12" t="inlineStr">
        <is>
          <t>order spare parts france</t>
        </is>
      </c>
      <c r="G5" s="12" t="inlineStr">
        <is>
          <t xml:space="preserve">BW-0416 5PC Bracket for Immersion Pump | BW-0183 20PC Immersion pump | BW-0184 6PC Pump 100L/h | BW-0417 3PC Motor for pump 100L/h | BW-0429 30PC Ice </t>
        </is>
      </c>
      <c r="H5" s="11" t="inlineStr">
        <is>
          <t>Commande formalisée</t>
        </is>
      </c>
      <c r="I5" s="12" t="inlineStr">
        <is>
          <t>14 SKU BOX 80</t>
        </is>
      </c>
    </row>
    <row r="6">
      <c r="A6" s="13" t="inlineStr">
        <is>
          <t>12889827793</t>
        </is>
      </c>
      <c r="B6" s="11" t="inlineStr">
        <is>
          <t>Suisse</t>
        </is>
      </c>
      <c r="C6" s="13" t="inlineStr">
        <is>
          <t>BW-0272.01 PRO2 Black</t>
        </is>
      </c>
      <c r="D6" s="13" t="inlineStr">
        <is>
          <t>2026-08-25</t>
        </is>
      </c>
      <c r="E6" s="13" t="inlineStr">
        <is>
          <t>New (to repair)</t>
        </is>
      </c>
      <c r="F6" s="12" t="inlineStr">
        <is>
          <t>spare parts suisse</t>
        </is>
      </c>
      <c r="G6" s="12" t="inlineStr">
        <is>
          <t>x30 Ventillateur BOX20 (compatible aussi BOX15) donc à voir chez quel fournisseur c'est moins cher (j'en ai beaucoup à réparer, et là j'ai tout utilis</t>
        </is>
      </c>
      <c r="H6" s="11" t="inlineStr">
        <is>
          <t>Commande formalisée</t>
        </is>
      </c>
      <c r="I6" s="12" t="inlineStr">
        <is>
          <t>5 lignes</t>
        </is>
      </c>
    </row>
    <row r="7">
      <c r="A7" s="13" t="inlineStr">
        <is>
          <t>12759640381</t>
        </is>
      </c>
      <c r="B7" s="11" t="inlineStr">
        <is>
          <t>France</t>
        </is>
      </c>
      <c r="C7" s="13" t="inlineStr">
        <is>
          <t>BW-0001 BOX 80</t>
        </is>
      </c>
      <c r="D7" s="13" t="inlineStr">
        <is>
          <t>2026-08-10</t>
        </is>
      </c>
      <c r="E7" s="13" t="inlineStr">
        <is>
          <t>New (to repair)</t>
        </is>
      </c>
      <c r="F7" s="12" t="inlineStr">
        <is>
          <t>NO SPARKLING WATER</t>
        </is>
      </c>
      <c r="G7" s="12" t="inlineStr">
        <is>
          <t>The inlet solenoid valve that supplies the CO₂ tank with water is completely blocked, and therefore the motor burnt out from being forced for too long</t>
        </is>
      </c>
      <c r="H7" s="11" t="inlineStr">
        <is>
          <t>Pièce déduite</t>
        </is>
      </c>
      <c r="I7" s="12" t="inlineStr">
        <is>
          <t>Électrovanne entrée — SKU à créer</t>
        </is>
      </c>
    </row>
    <row r="8">
      <c r="A8" s="13" t="inlineStr">
        <is>
          <t>12759710752</t>
        </is>
      </c>
      <c r="B8" s="11" t="inlineStr">
        <is>
          <t>France</t>
        </is>
      </c>
      <c r="C8" s="13" t="inlineStr">
        <is>
          <t>BW-0001 BOX 80</t>
        </is>
      </c>
      <c r="D8" s="13" t="inlineStr">
        <is>
          <t>2026-08-10</t>
        </is>
      </c>
      <c r="E8" s="13" t="inlineStr">
        <is>
          <t>New (to repair)</t>
        </is>
      </c>
      <c r="F8" s="12" t="inlineStr">
        <is>
          <t>NO REFRIGIRATION</t>
        </is>
      </c>
      <c r="G8" s="12" t="inlineStr">
        <is>
          <t>Everything is working properly, but the water is not cooling. The gas has escaped from the compressor.</t>
        </is>
      </c>
      <c r="H8" s="11" t="inlineStr">
        <is>
          <t>Pièce déduite</t>
        </is>
      </c>
      <c r="I8" s="12" t="inlineStr">
        <is>
          <t>Compresseur/gaz — SKU à créer</t>
        </is>
      </c>
    </row>
    <row r="9">
      <c r="A9" s="13" t="inlineStr">
        <is>
          <t>12345567586</t>
        </is>
      </c>
      <c r="B9" s="11" t="inlineStr">
        <is>
          <t>Suisse</t>
        </is>
      </c>
      <c r="C9" s="13" t="inlineStr">
        <is>
          <t>BW-0042 AQTiV COMBI</t>
        </is>
      </c>
      <c r="D9" s="13" t="inlineStr">
        <is>
          <t>2026-06-23</t>
        </is>
      </c>
      <c r="E9" s="13" t="inlineStr">
        <is>
          <t>New (to repair)</t>
        </is>
      </c>
      <c r="F9" s="12" t="inlineStr">
        <is>
          <t>Fuite gearbox</t>
        </is>
      </c>
      <c r="G9" s="12" t="inlineStr">
        <is>
          <t>Fuite au niveau du chapeau de la gearbox</t>
        </is>
      </c>
      <c r="H9" s="11" t="inlineStr">
        <is>
          <t>Pièce déduite</t>
        </is>
      </c>
      <c r="I9" s="12" t="inlineStr">
        <is>
          <t>BW-0974 Gearbox - Hat</t>
        </is>
      </c>
    </row>
    <row r="10">
      <c r="A10" s="13" t="inlineStr">
        <is>
          <t>12498897081</t>
        </is>
      </c>
      <c r="B10" s="11" t="inlineStr">
        <is>
          <t>Suisse</t>
        </is>
      </c>
      <c r="C10" s="13" t="inlineStr">
        <is>
          <t>BW-0136 BAR2 double portion control</t>
        </is>
      </c>
      <c r="D10" s="13" t="inlineStr">
        <is>
          <t>2026-07-10</t>
        </is>
      </c>
      <c r="E10" s="13" t="inlineStr">
        <is>
          <t>New (to repair)</t>
        </is>
      </c>
      <c r="F10" s="12" t="inlineStr">
        <is>
          <t>Bar2 upper right button used as spear part</t>
        </is>
      </c>
      <c r="G10" s="12" t="inlineStr">
        <is>
          <t>Subject</t>
        </is>
      </c>
      <c r="H10" s="11" t="inlineStr">
        <is>
          <t>Pièce déduite</t>
        </is>
      </c>
      <c r="I10" s="12" t="inlineStr">
        <is>
          <t>Bouton BAR2 — position à préciser</t>
        </is>
      </c>
    </row>
    <row r="11">
      <c r="A11" s="13" t="inlineStr">
        <is>
          <t>12217762646</t>
        </is>
      </c>
      <c r="B11" s="11" t="inlineStr">
        <is>
          <t>Suisse</t>
        </is>
      </c>
      <c r="C11" s="13" t="inlineStr">
        <is>
          <t>BW-0271 PRO2 White</t>
        </is>
      </c>
      <c r="D11" s="13" t="inlineStr">
        <is>
          <t>2026-06-08</t>
        </is>
      </c>
      <c r="E11" s="13" t="inlineStr">
        <is>
          <t>New (to repair)</t>
        </is>
      </c>
      <c r="F11" s="12" t="inlineStr">
        <is>
          <t>Pro 2</t>
        </is>
      </c>
      <c r="G11" s="12" t="inlineStr">
        <is>
          <t>Box qui fait un goûte à goûte sans arrêt il faut sûrement changer l’électrovanne</t>
        </is>
      </c>
      <c r="H11" s="11" t="inlineStr">
        <is>
          <t>Pièce déduite</t>
        </is>
      </c>
      <c r="I11" s="12" t="inlineStr">
        <is>
          <t>BW-0179 PRO2 Solenoids</t>
        </is>
      </c>
    </row>
    <row r="12">
      <c r="A12" s="13" t="inlineStr">
        <is>
          <t>12891544139</t>
        </is>
      </c>
      <c r="B12" s="11" t="inlineStr">
        <is>
          <t>Suisse</t>
        </is>
      </c>
      <c r="C12" s="13" t="inlineStr">
        <is>
          <t>BW-0596 BOX 20 Home</t>
        </is>
      </c>
      <c r="D12" s="13" t="inlineStr">
        <is>
          <t>—</t>
        </is>
      </c>
      <c r="E12" s="13" t="inlineStr">
        <is>
          <t>➡️ In progress (repair in progress)</t>
        </is>
      </c>
      <c r="F12" s="12" t="inlineStr">
        <is>
          <t>Carroserie HS</t>
        </is>
      </c>
      <c r="G12" s="12" t="inlineStr">
        <is>
          <t>Carrosserie HS</t>
        </is>
      </c>
      <c r="H12" s="11" t="inlineStr">
        <is>
          <t>Pièce déduite</t>
        </is>
      </c>
      <c r="I12" s="12" t="inlineStr">
        <is>
          <t>BW-0994 Outer casing BOX 20</t>
        </is>
      </c>
    </row>
    <row r="13">
      <c r="A13" s="13" t="inlineStr">
        <is>
          <t>12891695968</t>
        </is>
      </c>
      <c r="B13" s="11" t="inlineStr">
        <is>
          <t>Suisse</t>
        </is>
      </c>
      <c r="C13" s="13" t="inlineStr">
        <is>
          <t>BW-0596 BOX 20 Home</t>
        </is>
      </c>
      <c r="D13" s="13" t="inlineStr">
        <is>
          <t>2025-08-14</t>
        </is>
      </c>
      <c r="E13" s="13" t="inlineStr">
        <is>
          <t>➡️ In progress (repair in progress)</t>
        </is>
      </c>
      <c r="F13" s="12" t="inlineStr">
        <is>
          <t>Fuite CO2</t>
        </is>
      </c>
      <c r="G13" s="12" t="inlineStr">
        <is>
          <t>Fuite long terme au niveau du CO2</t>
        </is>
      </c>
      <c r="H13" s="11" t="inlineStr">
        <is>
          <t>Pièce déduite</t>
        </is>
      </c>
      <c r="I13" s="12" t="inlineStr">
        <is>
          <t>Fuite CO2 — à diagnostiquer</t>
        </is>
      </c>
    </row>
    <row r="14">
      <c r="A14" s="13" t="inlineStr">
        <is>
          <t>12232314055</t>
        </is>
      </c>
      <c r="B14" s="11" t="inlineStr">
        <is>
          <t>UK</t>
        </is>
      </c>
      <c r="C14" s="13" t="inlineStr">
        <is>
          <t>BW-0136 BAR2 double portion control</t>
        </is>
      </c>
      <c r="D14" s="13" t="inlineStr">
        <is>
          <t>2026-06-09</t>
        </is>
      </c>
      <c r="E14" s="13" t="inlineStr">
        <is>
          <t>New (to repair)</t>
        </is>
      </c>
      <c r="F14" s="12" t="inlineStr">
        <is>
          <t>Damaged Drip Tray</t>
        </is>
      </c>
      <c r="G14" s="12" t="inlineStr">
        <is>
          <t>Drip tray on BAR2 double portion control cracked and leaking</t>
        </is>
      </c>
      <c r="H14" s="11" t="inlineStr">
        <is>
          <t>Pièce déduite</t>
        </is>
      </c>
      <c r="I14" s="12" t="inlineStr">
        <is>
          <t>BW-0295 BAR2 Drip tray</t>
        </is>
      </c>
    </row>
    <row r="15">
      <c r="A15" s="13" t="inlineStr">
        <is>
          <t>18083626539</t>
        </is>
      </c>
      <c r="B15" s="11" t="inlineStr">
        <is>
          <t>Émirats</t>
        </is>
      </c>
      <c r="C15" s="13" t="inlineStr">
        <is>
          <t>BW-0074 BOX 30</t>
        </is>
      </c>
      <c r="D15" s="13" t="inlineStr">
        <is>
          <t>2025-10-01</t>
        </is>
      </c>
      <c r="E15" s="13" t="inlineStr">
        <is>
          <t>New (to repair)</t>
        </is>
      </c>
      <c r="F15" s="12" t="inlineStr">
        <is>
          <t>release pressure valve</t>
        </is>
      </c>
      <c r="G15" s="12" t="inlineStr">
        <is>
          <t>new spare part needed</t>
        </is>
      </c>
      <c r="H15" s="11" t="inlineStr">
        <is>
          <t>Pièce déduite</t>
        </is>
      </c>
      <c r="I15" s="12" t="inlineStr">
        <is>
          <t>BW-0172 8mm PRV</t>
        </is>
      </c>
    </row>
    <row r="16">
      <c r="A16" s="13" t="inlineStr">
        <is>
          <t>10943979984</t>
        </is>
      </c>
      <c r="B16" s="11" t="inlineStr">
        <is>
          <t>Émirats</t>
        </is>
      </c>
      <c r="C16" s="13" t="inlineStr">
        <is>
          <t>Tower</t>
        </is>
      </c>
      <c r="D16" s="13" t="inlineStr">
        <is>
          <t>2026-01-08</t>
        </is>
      </c>
      <c r="E16" s="13" t="inlineStr">
        <is>
          <t>New (to repair)</t>
        </is>
      </c>
      <c r="F16" s="12" t="inlineStr">
        <is>
          <t>Besoin spare parts manual capper- mail vivek 08.01</t>
        </is>
      </c>
      <c r="G16" s="12" t="inlineStr">
        <is>
          <t>Besoin spare parts manual capper- mail vivek 08.01</t>
        </is>
      </c>
      <c r="H16" s="11" t="inlineStr">
        <is>
          <t>Pièce déduite</t>
        </is>
      </c>
      <c r="I16" s="12" t="inlineStr">
        <is>
          <t>Capper Tower — SKU à créer</t>
        </is>
      </c>
    </row>
    <row r="17">
      <c r="A17" s="13" t="inlineStr">
        <is>
          <t>12734652195</t>
        </is>
      </c>
      <c r="B17" s="11" t="inlineStr">
        <is>
          <t>France</t>
        </is>
      </c>
      <c r="C17" s="13" t="inlineStr">
        <is>
          <t>BW-0001 BOX 80</t>
        </is>
      </c>
      <c r="D17" s="13" t="inlineStr">
        <is>
          <t>2026-08-06</t>
        </is>
      </c>
      <c r="E17" s="13" t="inlineStr">
        <is>
          <t>New (to repair)</t>
        </is>
      </c>
      <c r="F17" s="12" t="inlineStr">
        <is>
          <t>No sparkling water And the thermometer is busted no cold wat</t>
        </is>
      </c>
      <c r="G17" s="12" t="inlineStr">
        <is>
          <t>The motor that fills the CO₂ tank with water is burnt out, and the whole refrigeration unit won’t start because the thermometer no longer works.</t>
        </is>
      </c>
      <c r="H17" s="11" t="inlineStr">
        <is>
          <t>Couvert par la commande</t>
        </is>
      </c>
      <c r="I17" s="12" t="inlineStr">
        <is>
          <t>Moteur pompe CO2 + thermostat</t>
        </is>
      </c>
    </row>
    <row r="18">
      <c r="A18" s="13" t="inlineStr">
        <is>
          <t>12759584213</t>
        </is>
      </c>
      <c r="B18" s="11" t="inlineStr">
        <is>
          <t>France</t>
        </is>
      </c>
      <c r="C18" s="13" t="inlineStr">
        <is>
          <t>BW-0001 BOX 80</t>
        </is>
      </c>
      <c r="D18" s="13" t="inlineStr">
        <is>
          <t>2026-08-10</t>
        </is>
      </c>
      <c r="E18" s="13" t="inlineStr">
        <is>
          <t>At supplier</t>
        </is>
      </c>
      <c r="F18" s="12" t="inlineStr">
        <is>
          <t>NO REFRIGIRATION AND VETILATOR IS BROKE</t>
        </is>
      </c>
      <c r="G18" s="12" t="inlineStr">
        <is>
          <t>The refrigeration unit no longer starts. After inspection, the fan is also out of order (HS).</t>
        </is>
      </c>
      <c r="H18" s="11" t="inlineStr">
        <is>
          <t>Couvert par la commande</t>
        </is>
      </c>
      <c r="I18" s="12" t="inlineStr">
        <is>
          <t>Ventilateur + froid</t>
        </is>
      </c>
    </row>
    <row r="19">
      <c r="A19" s="13" t="inlineStr">
        <is>
          <t>12759667201</t>
        </is>
      </c>
      <c r="B19" s="11" t="inlineStr">
        <is>
          <t>France</t>
        </is>
      </c>
      <c r="C19" s="13" t="inlineStr">
        <is>
          <t>BW-0001 BOX 80</t>
        </is>
      </c>
      <c r="D19" s="13" t="inlineStr">
        <is>
          <t>2026-08-10</t>
        </is>
      </c>
      <c r="E19" s="13" t="inlineStr">
        <is>
          <t>New (to repair)</t>
        </is>
      </c>
      <c r="F19" s="12" t="inlineStr">
        <is>
          <t>The motor that supplies the CO₂ tank with water is burnt out</t>
        </is>
      </c>
      <c r="G19" s="12" t="inlineStr">
        <is>
          <t>The motor that supplies the CO₂ tank with water is burnt out.</t>
        </is>
      </c>
      <c r="H19" s="11" t="inlineStr">
        <is>
          <t>Couvert par la commande</t>
        </is>
      </c>
      <c r="I19" s="12" t="inlineStr">
        <is>
          <t>Moteur pompe CO2</t>
        </is>
      </c>
    </row>
    <row r="20">
      <c r="A20" s="13" t="inlineStr">
        <is>
          <t>12759598322</t>
        </is>
      </c>
      <c r="B20" s="11" t="inlineStr">
        <is>
          <t>France</t>
        </is>
      </c>
      <c r="C20" s="13" t="inlineStr">
        <is>
          <t>BW-0001 BOX 80</t>
        </is>
      </c>
      <c r="D20" s="13" t="inlineStr">
        <is>
          <t>2026-08-10</t>
        </is>
      </c>
      <c r="E20" s="13" t="inlineStr">
        <is>
          <t>New (to repair)</t>
        </is>
      </c>
      <c r="F20" s="12" t="inlineStr">
        <is>
          <t>NO REFRIGIRATION</t>
        </is>
      </c>
      <c r="G20" s="12" t="inlineStr">
        <is>
          <t>The refrigeration unit no longer starts. After inspection, the fan is also out of order (HS).</t>
        </is>
      </c>
      <c r="H20" s="11" t="inlineStr">
        <is>
          <t>Couvert par la commande</t>
        </is>
      </c>
      <c r="I20" s="12" t="inlineStr">
        <is>
          <t>Ventilateur + froid</t>
        </is>
      </c>
    </row>
    <row r="21">
      <c r="A21" s="13" t="inlineStr">
        <is>
          <t>12759621953</t>
        </is>
      </c>
      <c r="B21" s="11" t="inlineStr">
        <is>
          <t>France</t>
        </is>
      </c>
      <c r="C21" s="13" t="inlineStr">
        <is>
          <t>BW-0001 BOX 80</t>
        </is>
      </c>
      <c r="D21" s="13" t="inlineStr">
        <is>
          <t>2026-08-10</t>
        </is>
      </c>
      <c r="E21" s="13" t="inlineStr">
        <is>
          <t>New (to repair)</t>
        </is>
      </c>
      <c r="F21" s="12" t="inlineStr">
        <is>
          <t>NO VETILATION AND NO SPARKLING WATER</t>
        </is>
      </c>
      <c r="G21" s="12" t="inlineStr">
        <is>
          <t>The motor that supplies the CO₂ tank with water is completely blocked. We are unable to make it turn again, and the fan is out of order.</t>
        </is>
      </c>
      <c r="H21" s="11" t="inlineStr">
        <is>
          <t>Couvert par la commande</t>
        </is>
      </c>
      <c r="I21" s="12" t="inlineStr">
        <is>
          <t>Moteur pompe CO2 + ventilateur</t>
        </is>
      </c>
    </row>
    <row r="22">
      <c r="A22" s="13" t="inlineStr">
        <is>
          <t>12759641294</t>
        </is>
      </c>
      <c r="B22" s="11" t="inlineStr">
        <is>
          <t>France</t>
        </is>
      </c>
      <c r="C22" s="13" t="inlineStr">
        <is>
          <t>BW-0001 BOX 80</t>
        </is>
      </c>
      <c r="D22" s="13" t="inlineStr">
        <is>
          <t>2026-08-10</t>
        </is>
      </c>
      <c r="E22" s="13" t="inlineStr">
        <is>
          <t>New (to repair)</t>
        </is>
      </c>
      <c r="F22" s="12" t="inlineStr">
        <is>
          <t>NO VENTILATION NO COLD</t>
        </is>
      </c>
      <c r="G22" s="12" t="inlineStr">
        <is>
          <t>VENTILATION OUT OF ORDER AND THE THERMOMETER IS OUT OF ORDER</t>
        </is>
      </c>
      <c r="H22" s="11" t="inlineStr">
        <is>
          <t>Couvert par la commande</t>
        </is>
      </c>
      <c r="I22" s="12" t="inlineStr">
        <is>
          <t>Ventilateur + thermostat</t>
        </is>
      </c>
    </row>
    <row r="23">
      <c r="A23" s="13" t="inlineStr">
        <is>
          <t>12759687821</t>
        </is>
      </c>
      <c r="B23" s="11" t="inlineStr">
        <is>
          <t>France</t>
        </is>
      </c>
      <c r="C23" s="13" t="inlineStr">
        <is>
          <t>BW-0001 BOX 80</t>
        </is>
      </c>
      <c r="D23" s="13" t="inlineStr">
        <is>
          <t>2026-08-10</t>
        </is>
      </c>
      <c r="E23" s="13" t="inlineStr">
        <is>
          <t>New (to repair)</t>
        </is>
      </c>
      <c r="F23" s="12" t="inlineStr">
        <is>
          <t>THERMOMETER IS OUT OF ORDER</t>
        </is>
      </c>
      <c r="G23" s="12" t="inlineStr">
        <is>
          <t>THERMOMETER IS OUT OF ORDER</t>
        </is>
      </c>
      <c r="H23" s="11" t="inlineStr">
        <is>
          <t>Couvert par la commande</t>
        </is>
      </c>
      <c r="I23" s="12" t="inlineStr">
        <is>
          <t>Thermostat</t>
        </is>
      </c>
    </row>
    <row r="24">
      <c r="A24" s="13" t="inlineStr">
        <is>
          <t>12189511251</t>
        </is>
      </c>
      <c r="B24" s="11" t="inlineStr">
        <is>
          <t>Suisse</t>
        </is>
      </c>
      <c r="C24" s="13" t="inlineStr">
        <is>
          <t>BW-0596 BOX 20 Home</t>
        </is>
      </c>
      <c r="D24" s="13" t="inlineStr">
        <is>
          <t>2026-06-03</t>
        </is>
      </c>
      <c r="E24" s="13" t="inlineStr">
        <is>
          <t>New (to repair)</t>
        </is>
      </c>
      <c r="F24" s="12" t="inlineStr">
        <is>
          <t>Ne refroidit pas</t>
        </is>
      </c>
      <c r="G24" s="12" t="inlineStr">
        <is>
          <t>La box ne refroidit pas assez , vérifier le ventilation svp merci</t>
        </is>
      </c>
      <c r="H24" s="11" t="inlineStr">
        <is>
          <t>Couvert par la commande</t>
        </is>
      </c>
      <c r="I24" s="12" t="inlineStr">
        <is>
          <t>Ventilateur BOX 20 (30 pcs)</t>
        </is>
      </c>
    </row>
    <row r="25">
      <c r="A25" s="13" t="inlineStr">
        <is>
          <t>12890647974</t>
        </is>
      </c>
      <c r="B25" s="11" t="inlineStr">
        <is>
          <t>Suisse</t>
        </is>
      </c>
      <c r="C25" s="13" t="inlineStr">
        <is>
          <t>BW-0596 BOX 20 Home</t>
        </is>
      </c>
      <c r="D25" s="13" t="inlineStr">
        <is>
          <t>2026-08-25</t>
        </is>
      </c>
      <c r="E25" s="13" t="inlineStr">
        <is>
          <t>At supplier</t>
        </is>
      </c>
      <c r="F25" s="12" t="inlineStr">
        <is>
          <t>Ventilateur HS</t>
        </is>
      </c>
      <c r="G25" s="12" t="inlineStr">
        <is>
          <t>La box est chaud et l’eau ne refroidit pas  | Fortement possible ventilateur HS</t>
        </is>
      </c>
      <c r="H25" s="11" t="inlineStr">
        <is>
          <t>Couvert par la commande</t>
        </is>
      </c>
      <c r="I25" s="12" t="inlineStr">
        <is>
          <t>Ventilateur BOX 20 (30 pcs)</t>
        </is>
      </c>
    </row>
    <row r="26">
      <c r="A26" s="13" t="inlineStr">
        <is>
          <t>12891290504</t>
        </is>
      </c>
      <c r="B26" s="11" t="inlineStr">
        <is>
          <t>Suisse</t>
        </is>
      </c>
      <c r="C26" s="13" t="inlineStr">
        <is>
          <t>BW-0271 PRO2 White</t>
        </is>
      </c>
      <c r="D26" s="13" t="inlineStr">
        <is>
          <t>2026-08-25</t>
        </is>
      </c>
      <c r="E26" s="13" t="inlineStr">
        <is>
          <t>New (to repair)</t>
        </is>
      </c>
      <c r="F26" s="12" t="inlineStr">
        <is>
          <t>Bouton tactile HS</t>
        </is>
      </c>
      <c r="G26" s="12" t="inlineStr">
        <is>
          <t>Bouton tactile hs</t>
        </is>
      </c>
      <c r="H26" s="11" t="inlineStr">
        <is>
          <t>Exclu sur décision</t>
        </is>
      </c>
      <c r="I26" s="12" t="inlineStr">
        <is>
          <t>Panneau tactile PRO2</t>
        </is>
      </c>
    </row>
    <row r="27">
      <c r="A27" s="13" t="inlineStr">
        <is>
          <t>12488288189</t>
        </is>
      </c>
      <c r="B27" s="11" t="inlineStr">
        <is>
          <t>Suisse</t>
        </is>
      </c>
      <c r="C27" s="13" t="inlineStr">
        <is>
          <t>BW-0272.01 PRO2 Black</t>
        </is>
      </c>
      <c r="D27" s="13" t="inlineStr">
        <is>
          <t>2026-07-09</t>
        </is>
      </c>
      <c r="E27" s="13" t="inlineStr">
        <is>
          <t>New (to repair)</t>
        </is>
      </c>
      <c r="F27" s="12" t="inlineStr">
        <is>
          <t>Panel defekt</t>
        </is>
      </c>
      <c r="G27" s="12" t="inlineStr">
        <is>
          <t>The panel is defective; it was used for a repair.</t>
        </is>
      </c>
      <c r="H27" s="11" t="inlineStr">
        <is>
          <t>Exclu sur décision</t>
        </is>
      </c>
      <c r="I27" s="12" t="inlineStr">
        <is>
          <t>Panneau tactile PRO2</t>
        </is>
      </c>
    </row>
    <row r="28">
      <c r="A28" s="13" t="inlineStr">
        <is>
          <t>9340197921</t>
        </is>
      </c>
      <c r="B28" s="11" t="inlineStr">
        <is>
          <t>Canada</t>
        </is>
      </c>
      <c r="C28" s="13" t="inlineStr">
        <is>
          <t>BW-0001 BOX 80</t>
        </is>
      </c>
      <c r="D28" s="13" t="inlineStr">
        <is>
          <t>2025-06-10</t>
        </is>
      </c>
      <c r="E28" s="13" t="inlineStr">
        <is>
          <t>Stucked</t>
        </is>
      </c>
      <c r="F28" s="12" t="inlineStr">
        <is>
          <t>BOX no cooling Canada</t>
        </is>
      </c>
      <c r="G28" s="12" t="inlineStr">
        <is>
          <t>BOX no cooling Canada | En attente d'un frigoriste local</t>
        </is>
      </c>
      <c r="H28" s="11" t="inlineStr">
        <is>
          <t>Sans pièce</t>
        </is>
      </c>
      <c r="I28" s="12" t="inlineStr">
        <is>
          <t>Attente frigoriste local</t>
        </is>
      </c>
    </row>
    <row r="29">
      <c r="A29" s="13" t="inlineStr">
        <is>
          <t>12890697274</t>
        </is>
      </c>
      <c r="B29" s="11" t="inlineStr">
        <is>
          <t>Espagne</t>
        </is>
      </c>
      <c r="C29" s="13" t="inlineStr">
        <is>
          <t>—</t>
        </is>
      </c>
      <c r="D29" s="13" t="inlineStr">
        <is>
          <t>—</t>
        </is>
      </c>
      <c r="E29" s="13" t="inlineStr">
        <is>
          <t>New (to repair)</t>
        </is>
      </c>
      <c r="F29" s="12" t="inlineStr">
        <is>
          <t>Ajouter subject</t>
        </is>
      </c>
      <c r="G29" s="12" t="inlineStr"/>
      <c r="H29" s="11" t="inlineStr">
        <is>
          <t>Sans pièce</t>
        </is>
      </c>
      <c r="I29" s="12" t="inlineStr">
        <is>
          <t>Claim vide</t>
        </is>
      </c>
    </row>
    <row r="30">
      <c r="A30" s="13" t="inlineStr">
        <is>
          <t>12488429466</t>
        </is>
      </c>
      <c r="B30" s="11" t="inlineStr">
        <is>
          <t>Suisse</t>
        </is>
      </c>
      <c r="C30" s="13" t="inlineStr">
        <is>
          <t>BW-0596 BOX 20 Home</t>
        </is>
      </c>
      <c r="D30" s="13" t="inlineStr">
        <is>
          <t>2026-03-25</t>
        </is>
      </c>
      <c r="E30" s="13" t="inlineStr">
        <is>
          <t>New (to repair)</t>
        </is>
      </c>
      <c r="F30" s="12" t="inlineStr">
        <is>
          <t>Overheated</t>
        </is>
      </c>
      <c r="G30" s="12" t="inlineStr">
        <is>
          <t>The box is the old model and overheated so i change with the new model</t>
        </is>
      </c>
      <c r="H30" s="11" t="inlineStr">
        <is>
          <t>Sans pièce</t>
        </is>
      </c>
      <c r="I30" s="12" t="inlineStr">
        <is>
          <t>Machine échangée, pas de pièce</t>
        </is>
      </c>
    </row>
    <row r="31">
      <c r="A31" s="13" t="inlineStr">
        <is>
          <t>12260324751</t>
        </is>
      </c>
      <c r="B31" s="11" t="inlineStr">
        <is>
          <t>Suisse</t>
        </is>
      </c>
      <c r="C31" s="13" t="inlineStr">
        <is>
          <t>BW-0001 BOX 80</t>
        </is>
      </c>
      <c r="D31" s="13" t="inlineStr">
        <is>
          <t>2026-06-11</t>
        </is>
      </c>
      <c r="E31" s="13" t="inlineStr">
        <is>
          <t>New (to repair)</t>
        </is>
      </c>
      <c r="F31" s="12" t="inlineStr">
        <is>
          <t>Box Hs</t>
        </is>
      </c>
      <c r="G31" s="12" t="inlineStr">
        <is>
          <t>La pompe tourne sans arrêt jusqu’à se mettre en sécurité et ne plus tourner, je pense que c’est une sonde qui deconne ( c’est récurent sur les ancienn</t>
        </is>
      </c>
      <c r="H31" s="20" t="inlineStr">
        <is>
          <t>Diagnostic à faire</t>
        </is>
      </c>
      <c r="I31" s="12" t="inlineStr">
        <is>
          <t>—</t>
        </is>
      </c>
    </row>
    <row r="32">
      <c r="A32" s="13" t="inlineStr">
        <is>
          <t>12345571966</t>
        </is>
      </c>
      <c r="B32" s="11" t="inlineStr">
        <is>
          <t>Suisse</t>
        </is>
      </c>
      <c r="C32" s="13" t="inlineStr">
        <is>
          <t>BW-0001 BOX 80</t>
        </is>
      </c>
      <c r="D32" s="13" t="inlineStr">
        <is>
          <t>2026-06-23</t>
        </is>
      </c>
      <c r="E32" s="13" t="inlineStr">
        <is>
          <t>New (to repair)</t>
        </is>
      </c>
      <c r="F32" s="12" t="inlineStr">
        <is>
          <t>Fuite</t>
        </is>
      </c>
      <c r="G32" s="12" t="inlineStr">
        <is>
          <t>Fuite à l’intérieur de la box, lorsque la pompe se met en route la box fuite à l’intérieur visible directement en ouvrant le dessus de la box. | (La m</t>
        </is>
      </c>
      <c r="H32" s="20" t="inlineStr">
        <is>
          <t>Diagnostic à faire</t>
        </is>
      </c>
      <c r="I32" s="12" t="inlineStr">
        <is>
          <t>—</t>
        </is>
      </c>
    </row>
    <row r="33">
      <c r="A33" s="13" t="inlineStr">
        <is>
          <t>12488375225</t>
        </is>
      </c>
      <c r="B33" s="11" t="inlineStr">
        <is>
          <t>Suisse</t>
        </is>
      </c>
      <c r="C33" s="13" t="inlineStr">
        <is>
          <t>BW-0001 BOX 80</t>
        </is>
      </c>
      <c r="D33" s="13" t="inlineStr">
        <is>
          <t>2026-03-20</t>
        </is>
      </c>
      <c r="E33" s="13" t="inlineStr">
        <is>
          <t>New (to repair)</t>
        </is>
      </c>
      <c r="F33" s="12" t="inlineStr">
        <is>
          <t>Water quality</t>
        </is>
      </c>
      <c r="G33" s="12" t="inlineStr">
        <is>
          <t>The water tastes like plastic; sparkling water isn't any better either.￼</t>
        </is>
      </c>
      <c r="H33" s="20" t="inlineStr">
        <is>
          <t>Diagnostic à faire</t>
        </is>
      </c>
      <c r="I33" s="12" t="inlineStr">
        <is>
          <t>—</t>
        </is>
      </c>
    </row>
    <row r="34">
      <c r="A34" s="13" t="inlineStr">
        <is>
          <t>12498834734</t>
        </is>
      </c>
      <c r="B34" s="11" t="inlineStr">
        <is>
          <t>Suisse</t>
        </is>
      </c>
      <c r="C34" s="13" t="inlineStr">
        <is>
          <t>BW-0001 BOX 80</t>
        </is>
      </c>
      <c r="D34" s="13" t="inlineStr">
        <is>
          <t>2026-07-10</t>
        </is>
      </c>
      <c r="E34" s="13" t="inlineStr">
        <is>
          <t>New (to repair)</t>
        </is>
      </c>
      <c r="F34" s="12" t="inlineStr">
        <is>
          <t>Box not working correctly</t>
        </is>
      </c>
      <c r="G34" s="12" t="inlineStr">
        <is>
          <t>Box not working correctly</t>
        </is>
      </c>
      <c r="H34" s="20" t="inlineStr">
        <is>
          <t>Diagnostic à faire</t>
        </is>
      </c>
      <c r="I34" s="12" t="inlineStr">
        <is>
          <t>—</t>
        </is>
      </c>
    </row>
    <row r="35">
      <c r="A35" s="13" t="inlineStr">
        <is>
          <t>12498924040</t>
        </is>
      </c>
      <c r="B35" s="11" t="inlineStr">
        <is>
          <t>Suisse</t>
        </is>
      </c>
      <c r="C35" s="13" t="inlineStr">
        <is>
          <t>BW-0001 BOX 80</t>
        </is>
      </c>
      <c r="D35" s="13" t="inlineStr">
        <is>
          <t>2026-07-10</t>
        </is>
      </c>
      <c r="E35" s="13" t="inlineStr">
        <is>
          <t>New (to repair)</t>
        </is>
      </c>
      <c r="F35" s="12" t="inlineStr">
        <is>
          <t>Box shuts down</t>
        </is>
      </c>
      <c r="G35" s="12" t="inlineStr">
        <is>
          <t>Subject</t>
        </is>
      </c>
      <c r="H35" s="20" t="inlineStr">
        <is>
          <t>Diagnostic à faire</t>
        </is>
      </c>
      <c r="I35" s="12" t="inlineStr">
        <is>
          <t>—</t>
        </is>
      </c>
    </row>
    <row r="36">
      <c r="A36" s="13" t="inlineStr">
        <is>
          <t>12498929411</t>
        </is>
      </c>
      <c r="B36" s="11" t="inlineStr">
        <is>
          <t>Suisse</t>
        </is>
      </c>
      <c r="C36" s="13" t="inlineStr">
        <is>
          <t>BW-0001 BOX 80</t>
        </is>
      </c>
      <c r="D36" s="13" t="inlineStr">
        <is>
          <t>2026-07-10</t>
        </is>
      </c>
      <c r="E36" s="13" t="inlineStr">
        <is>
          <t>New (to repair)</t>
        </is>
      </c>
      <c r="F36" s="12" t="inlineStr">
        <is>
          <t>Not working after useing</t>
        </is>
      </c>
      <c r="G36" s="12" t="inlineStr">
        <is>
          <t>Subject</t>
        </is>
      </c>
      <c r="H36" s="20" t="inlineStr">
        <is>
          <t>Diagnostic à faire</t>
        </is>
      </c>
      <c r="I36" s="12" t="inlineStr">
        <is>
          <t>—</t>
        </is>
      </c>
    </row>
    <row r="37">
      <c r="A37" s="13" t="inlineStr">
        <is>
          <t>12498923975</t>
        </is>
      </c>
      <c r="B37" s="11" t="inlineStr">
        <is>
          <t>Suisse</t>
        </is>
      </c>
      <c r="C37" s="13" t="inlineStr">
        <is>
          <t>BW-0001 BOX 80</t>
        </is>
      </c>
      <c r="D37" s="13" t="inlineStr">
        <is>
          <t>2026-07-10</t>
        </is>
      </c>
      <c r="E37" s="13" t="inlineStr">
        <is>
          <t>New (to repair)</t>
        </is>
      </c>
      <c r="F37" s="12" t="inlineStr">
        <is>
          <t>Pumps too little water</t>
        </is>
      </c>
      <c r="G37" s="12" t="inlineStr">
        <is>
          <t>Subject</t>
        </is>
      </c>
      <c r="H37" s="20" t="inlineStr">
        <is>
          <t>Diagnostic à faire</t>
        </is>
      </c>
      <c r="I37" s="12" t="inlineStr">
        <is>
          <t>—</t>
        </is>
      </c>
    </row>
    <row r="38">
      <c r="A38" s="13" t="inlineStr">
        <is>
          <t>12516927493</t>
        </is>
      </c>
      <c r="B38" s="11" t="inlineStr">
        <is>
          <t>Suisse</t>
        </is>
      </c>
      <c r="C38" s="13" t="inlineStr">
        <is>
          <t>BW-0045 AQTiV COMBI H</t>
        </is>
      </c>
      <c r="D38" s="13" t="inlineStr">
        <is>
          <t>2026-07-13</t>
        </is>
      </c>
      <c r="E38" s="13" t="inlineStr">
        <is>
          <t>New (to repair)</t>
        </is>
      </c>
      <c r="F38" s="12" t="inlineStr">
        <is>
          <t>Débit eau chaude eau froide réduit</t>
        </is>
      </c>
      <c r="G38" s="12" t="inlineStr">
        <is>
          <t>Débit eau chaude eau froide réduit</t>
        </is>
      </c>
      <c r="H38" s="20" t="inlineStr">
        <is>
          <t>Diagnostic à faire</t>
        </is>
      </c>
      <c r="I38" s="12" t="inlineStr">
        <is>
          <t>—</t>
        </is>
      </c>
    </row>
    <row r="39">
      <c r="A39" s="13" t="inlineStr">
        <is>
          <t>12488224463</t>
        </is>
      </c>
      <c r="B39" s="11" t="inlineStr">
        <is>
          <t>Suisse</t>
        </is>
      </c>
      <c r="C39" s="13" t="inlineStr">
        <is>
          <t>BW-0067 BOX30 B</t>
        </is>
      </c>
      <c r="D39" s="13" t="inlineStr">
        <is>
          <t>2026-06-04</t>
        </is>
      </c>
      <c r="E39" s="13" t="inlineStr">
        <is>
          <t>New (to repair)</t>
        </is>
      </c>
      <c r="F39" s="12" t="inlineStr">
        <is>
          <t>Pump</t>
        </is>
      </c>
      <c r="G39" s="12" t="inlineStr">
        <is>
          <t>The system often doesn’t pump, so the sparkling water doesn’t come out</t>
        </is>
      </c>
      <c r="H39" s="20" t="inlineStr">
        <is>
          <t>Diagnostic à faire</t>
        </is>
      </c>
      <c r="I39" s="12" t="inlineStr">
        <is>
          <t>—</t>
        </is>
      </c>
    </row>
    <row r="40">
      <c r="A40" s="13" t="inlineStr">
        <is>
          <t>12782952977</t>
        </is>
      </c>
      <c r="B40" s="11" t="inlineStr">
        <is>
          <t>Suisse</t>
        </is>
      </c>
      <c r="C40" s="13" t="inlineStr">
        <is>
          <t>BW-0067 BOX30 B</t>
        </is>
      </c>
      <c r="D40" s="13" t="inlineStr">
        <is>
          <t>2026-08-12</t>
        </is>
      </c>
      <c r="E40" s="13" t="inlineStr">
        <is>
          <t>New (to repair)</t>
        </is>
      </c>
      <c r="F40" s="12" t="inlineStr">
        <is>
          <t>Box gèle</t>
        </is>
      </c>
      <c r="G40" s="12" t="inlineStr">
        <is>
          <t>Box gèle</t>
        </is>
      </c>
      <c r="H40" s="20" t="inlineStr">
        <is>
          <t>Diagnostic à faire</t>
        </is>
      </c>
      <c r="I40" s="12" t="inlineStr">
        <is>
          <t>—</t>
        </is>
      </c>
    </row>
    <row r="41">
      <c r="A41" s="13" t="inlineStr">
        <is>
          <t>12201056464</t>
        </is>
      </c>
      <c r="B41" s="11" t="inlineStr">
        <is>
          <t>Suisse</t>
        </is>
      </c>
      <c r="C41" s="13" t="inlineStr">
        <is>
          <t>BW-0074 BOX 30</t>
        </is>
      </c>
      <c r="D41" s="13" t="inlineStr">
        <is>
          <t>2026-06-04</t>
        </is>
      </c>
      <c r="E41" s="13" t="inlineStr">
        <is>
          <t>New (to repair)</t>
        </is>
      </c>
      <c r="F41" s="12" t="inlineStr">
        <is>
          <t>Box HS</t>
        </is>
      </c>
      <c r="G41" s="12" t="inlineStr">
        <is>
          <t>La box sonne sans arrêt, j’ai fait un reset mais rien toujours le même soucis et j’ai aussi agrandi le troue de ventilation sur le meuble au maximum m</t>
        </is>
      </c>
      <c r="H41" s="20" t="inlineStr">
        <is>
          <t>Diagnostic à faire</t>
        </is>
      </c>
      <c r="I41" s="12" t="inlineStr">
        <is>
          <t>—</t>
        </is>
      </c>
    </row>
    <row r="42">
      <c r="A42" s="13" t="inlineStr">
        <is>
          <t>12217669041</t>
        </is>
      </c>
      <c r="B42" s="11" t="inlineStr">
        <is>
          <t>Suisse</t>
        </is>
      </c>
      <c r="C42" s="13" t="inlineStr">
        <is>
          <t>BW-0074 BOX 30</t>
        </is>
      </c>
      <c r="D42" s="13" t="inlineStr">
        <is>
          <t>2026-06-03</t>
        </is>
      </c>
      <c r="E42" s="13" t="inlineStr">
        <is>
          <t>New (to repair)</t>
        </is>
      </c>
      <c r="F42" s="12" t="inlineStr">
        <is>
          <t>Défaut Box 30</t>
        </is>
      </c>
      <c r="G42" s="12" t="inlineStr">
        <is>
          <t>Box qui sonne et s’arrête sans arrêt</t>
        </is>
      </c>
      <c r="H42" s="20" t="inlineStr">
        <is>
          <t>Diagnostic à faire</t>
        </is>
      </c>
      <c r="I42" s="12" t="inlineStr">
        <is>
          <t>—</t>
        </is>
      </c>
    </row>
    <row r="43">
      <c r="A43" s="13" t="inlineStr">
        <is>
          <t>12487002527</t>
        </is>
      </c>
      <c r="B43" s="11" t="inlineStr">
        <is>
          <t>Suisse</t>
        </is>
      </c>
      <c r="C43" s="13" t="inlineStr">
        <is>
          <t>BW-0074 BOX 30</t>
        </is>
      </c>
      <c r="D43" s="13" t="inlineStr">
        <is>
          <t>2026-07-08</t>
        </is>
      </c>
      <c r="E43" s="13" t="inlineStr">
        <is>
          <t>New (to repair)</t>
        </is>
      </c>
      <c r="F43" s="12" t="inlineStr">
        <is>
          <t>Fuite box</t>
        </is>
      </c>
      <c r="G43" s="12" t="inlineStr">
        <is>
          <t>Il y’a un goutte a goutte continue sous la box au niveau de l’entrée de l’air frais</t>
        </is>
      </c>
      <c r="H43" s="20" t="inlineStr">
        <is>
          <t>Diagnostic à faire</t>
        </is>
      </c>
      <c r="I43" s="12" t="inlineStr">
        <is>
          <t>—</t>
        </is>
      </c>
    </row>
    <row r="44">
      <c r="A44" s="13" t="inlineStr">
        <is>
          <t>12488187921</t>
        </is>
      </c>
      <c r="B44" s="11" t="inlineStr">
        <is>
          <t>Suisse</t>
        </is>
      </c>
      <c r="C44" s="13" t="inlineStr">
        <is>
          <t>BW-0074 BOX 30</t>
        </is>
      </c>
      <c r="D44" s="13" t="inlineStr">
        <is>
          <t>2026-06-24</t>
        </is>
      </c>
      <c r="E44" s="13" t="inlineStr">
        <is>
          <t>New (to repair)</t>
        </is>
      </c>
      <c r="F44" s="12" t="inlineStr">
        <is>
          <t>Pump no works</t>
        </is>
      </c>
      <c r="G44" s="12" t="inlineStr">
        <is>
          <t>Pump no works</t>
        </is>
      </c>
      <c r="H44" s="20" t="inlineStr">
        <is>
          <t>Diagnostic à faire</t>
        </is>
      </c>
      <c r="I44" s="12" t="inlineStr">
        <is>
          <t>—</t>
        </is>
      </c>
    </row>
    <row r="45">
      <c r="A45" s="13" t="inlineStr">
        <is>
          <t>12488307592</t>
        </is>
      </c>
      <c r="B45" s="11" t="inlineStr">
        <is>
          <t>Suisse</t>
        </is>
      </c>
      <c r="C45" s="13" t="inlineStr">
        <is>
          <t>BW-0074 BOX 30</t>
        </is>
      </c>
      <c r="D45" s="13" t="inlineStr">
        <is>
          <t>2026-05-06</t>
        </is>
      </c>
      <c r="E45" s="13" t="inlineStr">
        <is>
          <t>New (to repair)</t>
        </is>
      </c>
      <c r="F45" s="12" t="inlineStr">
        <is>
          <t>Pump sometimes doesn’t work</t>
        </is>
      </c>
      <c r="G45" s="12" t="inlineStr">
        <is>
          <t>The pump sometimes works sometimes not. So the client haven’t sparkling water all time</t>
        </is>
      </c>
      <c r="H45" s="20" t="inlineStr">
        <is>
          <t>Diagnostic à faire</t>
        </is>
      </c>
      <c r="I45" s="12" t="inlineStr">
        <is>
          <t>—</t>
        </is>
      </c>
    </row>
    <row r="46">
      <c r="A46" s="13" t="inlineStr">
        <is>
          <t>12488600521</t>
        </is>
      </c>
      <c r="B46" s="11" t="inlineStr">
        <is>
          <t>Suisse</t>
        </is>
      </c>
      <c r="C46" s="13" t="inlineStr">
        <is>
          <t>BW-0074 BOX 30</t>
        </is>
      </c>
      <c r="D46" s="13" t="inlineStr">
        <is>
          <t>2026-07-08</t>
        </is>
      </c>
      <c r="E46" s="13" t="inlineStr">
        <is>
          <t>New (to repair)</t>
        </is>
      </c>
      <c r="F46" s="12" t="inlineStr">
        <is>
          <t>Pump no work</t>
        </is>
      </c>
      <c r="G46" s="12" t="inlineStr">
        <is>
          <t>Pump doesn’t work</t>
        </is>
      </c>
      <c r="H46" s="20" t="inlineStr">
        <is>
          <t>Diagnostic à faire</t>
        </is>
      </c>
      <c r="I46" s="12" t="inlineStr">
        <is>
          <t>—</t>
        </is>
      </c>
    </row>
    <row r="47">
      <c r="A47" s="13" t="inlineStr">
        <is>
          <t>12498931297</t>
        </is>
      </c>
      <c r="B47" s="11" t="inlineStr">
        <is>
          <t>Suisse</t>
        </is>
      </c>
      <c r="C47" s="13" t="inlineStr">
        <is>
          <t>BW-0074 BOX 30</t>
        </is>
      </c>
      <c r="D47" s="13" t="inlineStr">
        <is>
          <t>2026-07-10</t>
        </is>
      </c>
      <c r="E47" s="13" t="inlineStr">
        <is>
          <t>New (to repair)</t>
        </is>
      </c>
      <c r="F47" s="12" t="inlineStr">
        <is>
          <t>No pump after using a while</t>
        </is>
      </c>
      <c r="G47" s="12" t="inlineStr">
        <is>
          <t>Subject</t>
        </is>
      </c>
      <c r="H47" s="20" t="inlineStr">
        <is>
          <t>Diagnostic à faire</t>
        </is>
      </c>
      <c r="I47" s="12" t="inlineStr">
        <is>
          <t>—</t>
        </is>
      </c>
    </row>
    <row r="48">
      <c r="A48" s="13" t="inlineStr">
        <is>
          <t>12771268734</t>
        </is>
      </c>
      <c r="B48" s="11" t="inlineStr">
        <is>
          <t>Suisse</t>
        </is>
      </c>
      <c r="C48" s="13" t="inlineStr">
        <is>
          <t>BW-0074 BOX 30</t>
        </is>
      </c>
      <c r="D48" s="13" t="inlineStr">
        <is>
          <t>2026-07-31</t>
        </is>
      </c>
      <c r="E48" s="13" t="inlineStr">
        <is>
          <t>New (to repair)</t>
        </is>
      </c>
      <c r="F48" s="12" t="inlineStr">
        <is>
          <t>Box gelée</t>
        </is>
      </c>
      <c r="G48" s="12" t="inlineStr">
        <is>
          <t>Box gelée</t>
        </is>
      </c>
      <c r="H48" s="20" t="inlineStr">
        <is>
          <t>Diagnostic à faire</t>
        </is>
      </c>
      <c r="I48" s="12" t="inlineStr">
        <is>
          <t>—</t>
        </is>
      </c>
    </row>
    <row r="49">
      <c r="A49" s="13" t="inlineStr">
        <is>
          <t>12780892458</t>
        </is>
      </c>
      <c r="B49" s="11" t="inlineStr">
        <is>
          <t>Suisse</t>
        </is>
      </c>
      <c r="C49" s="13" t="inlineStr">
        <is>
          <t>BW-0074 BOX 30</t>
        </is>
      </c>
      <c r="D49" s="13" t="inlineStr">
        <is>
          <t>2026-08-12</t>
        </is>
      </c>
      <c r="E49" s="13" t="inlineStr">
        <is>
          <t>New (to repair)</t>
        </is>
      </c>
      <c r="F49" s="12" t="inlineStr">
        <is>
          <t>Boxe gelée</t>
        </is>
      </c>
      <c r="G49" s="12" t="inlineStr">
        <is>
          <t>Box gelée</t>
        </is>
      </c>
      <c r="H49" s="20" t="inlineStr">
        <is>
          <t>Diagnostic à faire</t>
        </is>
      </c>
      <c r="I49" s="12" t="inlineStr">
        <is>
          <t>—</t>
        </is>
      </c>
    </row>
    <row r="50">
      <c r="A50" s="13" t="inlineStr">
        <is>
          <t>12201056980</t>
        </is>
      </c>
      <c r="B50" s="11" t="inlineStr">
        <is>
          <t>Suisse</t>
        </is>
      </c>
      <c r="C50" s="13" t="inlineStr">
        <is>
          <t>BW-0271 PRO2 White</t>
        </is>
      </c>
      <c r="D50" s="13" t="inlineStr">
        <is>
          <t>2026-06-02</t>
        </is>
      </c>
      <c r="E50" s="13" t="inlineStr">
        <is>
          <t>New (to repair)</t>
        </is>
      </c>
      <c r="F50" s="12" t="inlineStr">
        <is>
          <t>Pas d’eau pétillante</t>
        </is>
      </c>
      <c r="G50" s="12" t="inlineStr">
        <is>
          <t>L’eau coule mais aucune pétillance box a contrôlé</t>
        </is>
      </c>
      <c r="H50" s="20" t="inlineStr">
        <is>
          <t>Diagnostic à faire</t>
        </is>
      </c>
      <c r="I50" s="12" t="inlineStr">
        <is>
          <t>—</t>
        </is>
      </c>
    </row>
    <row r="51">
      <c r="A51" s="13" t="inlineStr">
        <is>
          <t>12220631520</t>
        </is>
      </c>
      <c r="B51" s="11" t="inlineStr">
        <is>
          <t>Suisse</t>
        </is>
      </c>
      <c r="C51" s="13" t="inlineStr">
        <is>
          <t>BW-0271 PRO2 White</t>
        </is>
      </c>
      <c r="D51" s="13" t="inlineStr">
        <is>
          <t>2026-06-08</t>
        </is>
      </c>
      <c r="E51" s="13" t="inlineStr">
        <is>
          <t>New (to repair)</t>
        </is>
      </c>
      <c r="F51" s="12" t="inlineStr">
        <is>
          <t>À contrôler</t>
        </is>
      </c>
      <c r="G51" s="12" t="inlineStr">
        <is>
          <t>Désinstallation au golf de lavaux box à contrôler quand j’etait sur place l’eau gazeuse et ambiante fonctionner mais pas l’eau froide</t>
        </is>
      </c>
      <c r="H51" s="20" t="inlineStr">
        <is>
          <t>Diagnostic à faire</t>
        </is>
      </c>
      <c r="I51" s="12" t="inlineStr">
        <is>
          <t>—</t>
        </is>
      </c>
    </row>
    <row r="52">
      <c r="A52" s="13" t="inlineStr">
        <is>
          <t>12498878880</t>
        </is>
      </c>
      <c r="B52" s="11" t="inlineStr">
        <is>
          <t>Suisse</t>
        </is>
      </c>
      <c r="C52" s="13" t="inlineStr">
        <is>
          <t>BW-0271 PRO2 White</t>
        </is>
      </c>
      <c r="D52" s="13" t="inlineStr">
        <is>
          <t>2026-07-10</t>
        </is>
      </c>
      <c r="E52" s="13" t="inlineStr">
        <is>
          <t>New (to repair)</t>
        </is>
      </c>
      <c r="F52" s="12" t="inlineStr">
        <is>
          <t>Box not working after upgrade pro2</t>
        </is>
      </c>
      <c r="G52" s="12" t="inlineStr">
        <is>
          <t>Box fell on ground, sorry!</t>
        </is>
      </c>
      <c r="H52" s="20" t="inlineStr">
        <is>
          <t>Diagnostic à faire</t>
        </is>
      </c>
      <c r="I52" s="12" t="inlineStr">
        <is>
          <t>—</t>
        </is>
      </c>
    </row>
    <row r="53">
      <c r="A53" s="13" t="inlineStr">
        <is>
          <t>12498898179</t>
        </is>
      </c>
      <c r="B53" s="11" t="inlineStr">
        <is>
          <t>Suisse</t>
        </is>
      </c>
      <c r="C53" s="13" t="inlineStr">
        <is>
          <t>BW-0271.01 PRO2 Silver</t>
        </is>
      </c>
      <c r="D53" s="13" t="inlineStr">
        <is>
          <t>2026-07-10</t>
        </is>
      </c>
      <c r="E53" s="13" t="inlineStr">
        <is>
          <t>New (to repair)</t>
        </is>
      </c>
      <c r="F53" s="12" t="inlineStr">
        <is>
          <t>Box not pumping</t>
        </is>
      </c>
      <c r="G53" s="12" t="inlineStr">
        <is>
          <t>Box not pumping</t>
        </is>
      </c>
      <c r="H53" s="20" t="inlineStr">
        <is>
          <t>Diagnostic à faire</t>
        </is>
      </c>
      <c r="I53" s="12" t="inlineStr">
        <is>
          <t>—</t>
        </is>
      </c>
    </row>
    <row r="54">
      <c r="A54" s="13" t="inlineStr">
        <is>
          <t>12498901989</t>
        </is>
      </c>
      <c r="B54" s="11" t="inlineStr">
        <is>
          <t>Suisse</t>
        </is>
      </c>
      <c r="C54" s="13" t="inlineStr">
        <is>
          <t>BW-0272 PRO2 Black</t>
        </is>
      </c>
      <c r="D54" s="13" t="inlineStr">
        <is>
          <t>2026-07-10</t>
        </is>
      </c>
      <c r="E54" s="13" t="inlineStr">
        <is>
          <t>New (to repair)</t>
        </is>
      </c>
      <c r="F54" s="12" t="inlineStr">
        <is>
          <t>No cold water</t>
        </is>
      </c>
      <c r="G54" s="12" t="inlineStr">
        <is>
          <t>No cold water</t>
        </is>
      </c>
      <c r="H54" s="20" t="inlineStr">
        <is>
          <t>Diagnostic à faire</t>
        </is>
      </c>
      <c r="I54" s="12" t="inlineStr">
        <is>
          <t>—</t>
        </is>
      </c>
    </row>
    <row r="55">
      <c r="A55" s="13" t="inlineStr">
        <is>
          <t>12488576058</t>
        </is>
      </c>
      <c r="B55" s="11" t="inlineStr">
        <is>
          <t>Suisse</t>
        </is>
      </c>
      <c r="C55" s="13" t="inlineStr">
        <is>
          <t>BW-0272.01 PRO2 Black</t>
        </is>
      </c>
      <c r="D55" s="13" t="inlineStr">
        <is>
          <t>2026-07-09</t>
        </is>
      </c>
      <c r="E55" s="13" t="inlineStr">
        <is>
          <t>New (to repair)</t>
        </is>
      </c>
      <c r="F55" s="12" t="inlineStr">
        <is>
          <t>No function</t>
        </is>
      </c>
      <c r="G55" s="12" t="inlineStr">
        <is>
          <t>No power,no function, no electricity</t>
        </is>
      </c>
      <c r="H55" s="20" t="inlineStr">
        <is>
          <t>Diagnostic à faire</t>
        </is>
      </c>
      <c r="I55" s="12" t="inlineStr">
        <is>
          <t>—</t>
        </is>
      </c>
    </row>
    <row r="56">
      <c r="A56" s="13" t="inlineStr">
        <is>
          <t>12878533047</t>
        </is>
      </c>
      <c r="B56" s="11" t="inlineStr">
        <is>
          <t>Suisse</t>
        </is>
      </c>
      <c r="C56" s="13" t="inlineStr">
        <is>
          <t>BW-0272.01 PRO2 Black</t>
        </is>
      </c>
      <c r="D56" s="13" t="inlineStr">
        <is>
          <t>2026-08-24</t>
        </is>
      </c>
      <c r="E56" s="13" t="inlineStr">
        <is>
          <t>➡️ In progress (repair in progress)</t>
        </is>
      </c>
      <c r="F56" s="12" t="inlineStr">
        <is>
          <t>Pas d’eau plate + pas d’eau pétillante</t>
        </is>
      </c>
      <c r="G56" s="12" t="inlineStr">
        <is>
          <t>Pas d’eau plate + pas d’eau pétillante</t>
        </is>
      </c>
      <c r="H56" s="20" t="inlineStr">
        <is>
          <t>Diagnostic à faire</t>
        </is>
      </c>
      <c r="I56" s="12" t="inlineStr">
        <is>
          <t>—</t>
        </is>
      </c>
    </row>
    <row r="57">
      <c r="A57" s="13" t="inlineStr">
        <is>
          <t>12862944948</t>
        </is>
      </c>
      <c r="B57" s="11" t="inlineStr">
        <is>
          <t>Suisse</t>
        </is>
      </c>
      <c r="C57" s="13" t="inlineStr">
        <is>
          <t>BW-0617 BE CONNECT</t>
        </is>
      </c>
      <c r="D57" s="13" t="inlineStr">
        <is>
          <t>2027-01-17</t>
        </is>
      </c>
      <c r="E57" s="13" t="inlineStr">
        <is>
          <t>New (to repair)</t>
        </is>
      </c>
      <c r="F57" s="12" t="inlineStr">
        <is>
          <t>Be connecte boucher</t>
        </is>
      </c>
      <c r="G57" s="12" t="inlineStr">
        <is>
          <t>Comme si il | Était boucher</t>
        </is>
      </c>
      <c r="H57" s="20" t="inlineStr">
        <is>
          <t>Diagnostic à faire</t>
        </is>
      </c>
      <c r="I57" s="12" t="inlineStr">
        <is>
          <t>—</t>
        </is>
      </c>
    </row>
    <row r="59">
      <c r="A59" s="2" t="inlineStr">
        <is>
          <t>« Diagnostic à faire » = la description ne permet pas d'identifier une pièce (« Box not working correctly », « Box gelée », « Subject »). Ces lignes ne génèrent pas de commande en l'état.</t>
        </is>
      </c>
    </row>
  </sheetData>
  <autoFilter ref="A4:I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4" customWidth="1" min="3" max="3"/>
    <col width="17" customWidth="1" min="4" max="4"/>
    <col width="15" customWidth="1" min="5" max="5"/>
    <col width="14" customWidth="1" min="6" max="6"/>
    <col width="16" customWidth="1" min="7" max="7"/>
    <col width="26" customWidth="1" min="8" max="8"/>
  </cols>
  <sheetData>
    <row r="1">
      <c r="A1" s="1" t="inlineStr">
        <is>
          <t>Référentiel pièces détachées — 294 SKU</t>
        </is>
      </c>
    </row>
    <row r="2">
      <c r="A2" s="2" t="inlineStr">
        <is>
          <t>Hub technicien croisé avec la base SharePoint de septembre 2022 et la liste d'achat Blupura 2022.</t>
        </is>
      </c>
    </row>
    <row r="4" ht="32" customHeight="1">
      <c r="A4" s="3" t="inlineStr">
        <is>
          <t>SKU BW</t>
        </is>
      </c>
      <c r="B4" s="3" t="inlineStr">
        <is>
          <t>Désignation</t>
        </is>
      </c>
      <c r="C4" s="3" t="inlineStr">
        <is>
          <t>Machines (hub)</t>
        </is>
      </c>
      <c r="D4" s="3" t="inlineStr">
        <is>
          <t>Fournisseur</t>
        </is>
      </c>
      <c r="E4" s="3" t="inlineStr">
        <is>
          <t>Réf. fournisseur</t>
        </is>
      </c>
      <c r="F4" s="3" t="inlineStr">
        <is>
          <t>Prix cat. (CHF)</t>
        </is>
      </c>
      <c r="G4" s="3" t="inlineStr">
        <is>
          <t>Prix achat (EUR)</t>
        </is>
      </c>
      <c r="H4" s="3" t="inlineStr">
        <is>
          <t>Remarque</t>
        </is>
      </c>
    </row>
    <row r="5">
      <c r="A5" s="4" t="inlineStr">
        <is>
          <t>BW-0012</t>
        </is>
      </c>
      <c r="B5" s="21" t="inlineStr">
        <is>
          <t>AiR System</t>
        </is>
      </c>
      <c r="C5" s="21" t="inlineStr">
        <is>
          <t>AQTiV COMBI; AQTiV ONE</t>
        </is>
      </c>
      <c r="D5" s="21" t="inlineStr">
        <is>
          <t>BE WTR</t>
        </is>
      </c>
      <c r="E5" s="21" t="inlineStr">
        <is>
          <t>BW-0012</t>
        </is>
      </c>
      <c r="F5" s="22" t="n"/>
      <c r="G5" s="22" t="n"/>
      <c r="H5" s="23" t="inlineStr">
        <is>
          <t>Prix à demander (AS*)</t>
        </is>
      </c>
    </row>
    <row r="6">
      <c r="A6" s="4" t="inlineStr">
        <is>
          <t>BW-0158</t>
        </is>
      </c>
      <c r="B6" s="21" t="inlineStr">
        <is>
          <t>Flow regulator</t>
        </is>
      </c>
      <c r="C6" s="21" t="inlineStr">
        <is>
          <t>BOX 80 I; BOX 120 I</t>
        </is>
      </c>
      <c r="D6" s="21" t="inlineStr"/>
      <c r="E6" s="21" t="inlineStr"/>
      <c r="F6" s="22" t="n"/>
      <c r="G6" s="22" t="n"/>
      <c r="H6" s="23" t="inlineStr">
        <is>
          <t>Absente de la base 2022</t>
        </is>
      </c>
    </row>
    <row r="7">
      <c r="A7" s="4" t="inlineStr">
        <is>
          <t>BW-0159</t>
        </is>
      </c>
      <c r="B7" s="21" t="inlineStr">
        <is>
          <t>PRO1 - PCB Control Board</t>
        </is>
      </c>
      <c r="C7" s="21" t="inlineStr">
        <is>
          <t>PRO1</t>
        </is>
      </c>
      <c r="D7" s="21" t="inlineStr">
        <is>
          <t>Borg&amp;Overström</t>
        </is>
      </c>
      <c r="E7" s="21" t="inlineStr">
        <is>
          <t>701052</t>
        </is>
      </c>
      <c r="F7" s="22" t="n">
        <v>72.5</v>
      </c>
      <c r="G7" s="22" t="n"/>
      <c r="H7" s="21" t="inlineStr"/>
    </row>
    <row r="8">
      <c r="A8" s="4" t="inlineStr">
        <is>
          <t>BW-0160</t>
        </is>
      </c>
      <c r="B8" s="21" t="inlineStr">
        <is>
          <t>PRO1 - Cup Stand</t>
        </is>
      </c>
      <c r="C8" s="21" t="inlineStr">
        <is>
          <t>PRO1</t>
        </is>
      </c>
      <c r="D8" s="21" t="inlineStr">
        <is>
          <t>Borg&amp;Overström</t>
        </is>
      </c>
      <c r="E8" s="21" t="inlineStr">
        <is>
          <t>701409</t>
        </is>
      </c>
      <c r="F8" s="22" t="n">
        <v>95</v>
      </c>
      <c r="G8" s="22" t="n"/>
      <c r="H8" s="21" t="inlineStr"/>
    </row>
    <row r="9">
      <c r="A9" s="4" t="inlineStr">
        <is>
          <t>BW-0161</t>
        </is>
      </c>
      <c r="B9" s="21" t="inlineStr">
        <is>
          <t>PRO1 - Connection cable</t>
        </is>
      </c>
      <c r="C9" s="21" t="inlineStr">
        <is>
          <t>PRO1</t>
        </is>
      </c>
      <c r="D9" s="21" t="inlineStr">
        <is>
          <t>Borg&amp;Overström</t>
        </is>
      </c>
      <c r="E9" s="21" t="inlineStr">
        <is>
          <t>607135</t>
        </is>
      </c>
      <c r="F9" s="22" t="n">
        <v>20</v>
      </c>
      <c r="G9" s="22" t="n"/>
      <c r="H9" s="21" t="inlineStr"/>
    </row>
    <row r="10">
      <c r="A10" s="4" t="inlineStr">
        <is>
          <t>BW-0162</t>
        </is>
      </c>
      <c r="B10" s="21" t="inlineStr">
        <is>
          <t>PRO1 - Connection box side</t>
        </is>
      </c>
      <c r="C10" s="21" t="inlineStr">
        <is>
          <t>PRO1</t>
        </is>
      </c>
      <c r="D10" s="21" t="inlineStr">
        <is>
          <t>Borg&amp;Overström</t>
        </is>
      </c>
      <c r="E10" s="21" t="inlineStr">
        <is>
          <t>702087</t>
        </is>
      </c>
      <c r="F10" s="22" t="n">
        <v>39</v>
      </c>
      <c r="G10" s="22" t="n"/>
      <c r="H10" s="21" t="inlineStr"/>
    </row>
    <row r="11">
      <c r="A11" s="4" t="inlineStr">
        <is>
          <t>BW-0163</t>
        </is>
      </c>
      <c r="B11" s="21" t="inlineStr">
        <is>
          <t>PRO1 - Solenoids control board -A</t>
        </is>
      </c>
      <c r="C11" s="21" t="inlineStr">
        <is>
          <t>PRO1</t>
        </is>
      </c>
      <c r="D11" s="21" t="inlineStr">
        <is>
          <t>Borg&amp;Overström</t>
        </is>
      </c>
      <c r="E11" s="21" t="inlineStr">
        <is>
          <t>637106</t>
        </is>
      </c>
      <c r="F11" s="22" t="n">
        <v>255</v>
      </c>
      <c r="G11" s="22" t="n"/>
      <c r="H11" s="21" t="inlineStr"/>
    </row>
    <row r="12">
      <c r="A12" s="4" t="inlineStr">
        <is>
          <t>BW-0164</t>
        </is>
      </c>
      <c r="B12" s="21" t="inlineStr">
        <is>
          <t>PRO1 - PCB Control board - A</t>
        </is>
      </c>
      <c r="C12" s="21" t="inlineStr">
        <is>
          <t>PRO1</t>
        </is>
      </c>
      <c r="D12" s="21" t="inlineStr">
        <is>
          <t>Borg&amp;Overström</t>
        </is>
      </c>
      <c r="E12" s="21" t="inlineStr">
        <is>
          <t>637107</t>
        </is>
      </c>
      <c r="F12" s="22" t="n">
        <v>195</v>
      </c>
      <c r="G12" s="22" t="n"/>
      <c r="H12" s="21" t="inlineStr"/>
    </row>
    <row r="13">
      <c r="A13" s="4" t="inlineStr">
        <is>
          <t>BW-0165</t>
        </is>
      </c>
      <c r="B13" s="21" t="inlineStr">
        <is>
          <t>Fan 30 - A</t>
        </is>
      </c>
      <c r="C13" s="21" t="inlineStr">
        <is>
          <t>PRO1; BOX 30 (2021)</t>
        </is>
      </c>
      <c r="D13" s="21" t="inlineStr">
        <is>
          <t>Borg&amp;Overström</t>
        </is>
      </c>
      <c r="E13" s="21" t="inlineStr">
        <is>
          <t>637408</t>
        </is>
      </c>
      <c r="F13" s="22" t="n">
        <v>43</v>
      </c>
      <c r="G13" s="22" t="n"/>
      <c r="H13" s="21" t="inlineStr"/>
    </row>
    <row r="14">
      <c r="A14" s="4" t="inlineStr">
        <is>
          <t>BW-0166</t>
        </is>
      </c>
      <c r="B14" s="21" t="inlineStr">
        <is>
          <t>Solenoids 30E - A</t>
        </is>
      </c>
      <c r="C14" s="21" t="inlineStr">
        <is>
          <t>PRO1</t>
        </is>
      </c>
      <c r="D14" s="21" t="inlineStr">
        <is>
          <t>Borg&amp;Overström</t>
        </is>
      </c>
      <c r="E14" s="21" t="inlineStr">
        <is>
          <t>701525</t>
        </is>
      </c>
      <c r="F14" s="22" t="n">
        <v>270</v>
      </c>
      <c r="G14" s="22" t="n"/>
      <c r="H14" s="21" t="inlineStr"/>
    </row>
    <row r="15">
      <c r="A15" s="4" t="inlineStr">
        <is>
          <t>BW-0167</t>
        </is>
      </c>
      <c r="B15" s="21" t="inlineStr">
        <is>
          <t>Controller 30 - A</t>
        </is>
      </c>
      <c r="C15" s="21" t="inlineStr">
        <is>
          <t>PRO1; BOX 30 (2021)</t>
        </is>
      </c>
      <c r="D15" s="21" t="inlineStr">
        <is>
          <t>Borg&amp;Overström</t>
        </is>
      </c>
      <c r="E15" s="21" t="inlineStr">
        <is>
          <t>637326</t>
        </is>
      </c>
      <c r="F15" s="22" t="n">
        <v>185</v>
      </c>
      <c r="G15" s="22" t="n"/>
      <c r="H15" s="21" t="inlineStr"/>
    </row>
    <row r="16">
      <c r="A16" s="4" t="inlineStr">
        <is>
          <t>BW-0168</t>
        </is>
      </c>
      <c r="B16" s="21" t="inlineStr">
        <is>
          <t>Pump - A</t>
        </is>
      </c>
      <c r="C16" s="21" t="inlineStr">
        <is>
          <t>PRO1; BOX 30 (2021)</t>
        </is>
      </c>
      <c r="D16" s="21" t="inlineStr">
        <is>
          <t>Borg&amp;Overström</t>
        </is>
      </c>
      <c r="E16" s="21" t="inlineStr">
        <is>
          <t>637425</t>
        </is>
      </c>
      <c r="F16" s="22" t="n">
        <v>485</v>
      </c>
      <c r="G16" s="22" t="n"/>
      <c r="H16" s="21" t="inlineStr"/>
    </row>
    <row r="17">
      <c r="A17" s="4" t="inlineStr">
        <is>
          <t>BW-0169</t>
        </is>
      </c>
      <c r="B17" s="21" t="inlineStr">
        <is>
          <t>Flow regulator 30 - A</t>
        </is>
      </c>
      <c r="C17" s="21" t="inlineStr">
        <is>
          <t>PRO1; BOX 30 (2021)</t>
        </is>
      </c>
      <c r="D17" s="21" t="inlineStr">
        <is>
          <t>Borg&amp;Overström</t>
        </is>
      </c>
      <c r="E17" s="21" t="inlineStr">
        <is>
          <t>461358</t>
        </is>
      </c>
      <c r="F17" s="22" t="n">
        <v>56</v>
      </c>
      <c r="G17" s="22" t="n"/>
      <c r="H17" s="21" t="inlineStr"/>
    </row>
    <row r="18">
      <c r="A18" s="4" t="inlineStr">
        <is>
          <t>BW-0170</t>
        </is>
      </c>
      <c r="B18" s="21" t="inlineStr">
        <is>
          <t>Fan 30 - B</t>
        </is>
      </c>
      <c r="C18" s="21" t="inlineStr">
        <is>
          <t>BOX 30E; BOX 30</t>
        </is>
      </c>
      <c r="D18" s="21" t="inlineStr">
        <is>
          <t>Borg&amp;Overström</t>
        </is>
      </c>
      <c r="E18" s="21" t="inlineStr">
        <is>
          <t>700085</t>
        </is>
      </c>
      <c r="F18" s="22" t="n">
        <v>35</v>
      </c>
      <c r="G18" s="22" t="n"/>
      <c r="H18" s="21" t="inlineStr"/>
    </row>
    <row r="19">
      <c r="A19" s="4" t="inlineStr">
        <is>
          <t>BW-0171</t>
        </is>
      </c>
      <c r="B19" s="21" t="inlineStr">
        <is>
          <t>Pump 30 - B</t>
        </is>
      </c>
      <c r="C19" s="21" t="inlineStr">
        <is>
          <t>BOX 30E; BOX 30</t>
        </is>
      </c>
      <c r="D19" s="21" t="inlineStr">
        <is>
          <t>Borg&amp;Overström</t>
        </is>
      </c>
      <c r="E19" s="21" t="inlineStr">
        <is>
          <t>701537</t>
        </is>
      </c>
      <c r="F19" s="22" t="n">
        <v>225</v>
      </c>
      <c r="G19" s="22" t="n"/>
      <c r="H19" s="21" t="inlineStr"/>
    </row>
    <row r="20">
      <c r="A20" s="4" t="inlineStr">
        <is>
          <t>BW-0172</t>
        </is>
      </c>
      <c r="B20" s="21" t="inlineStr">
        <is>
          <t>8mm PRV</t>
        </is>
      </c>
      <c r="C20" s="21" t="inlineStr">
        <is>
          <t>BOX 30E; BOX 30</t>
        </is>
      </c>
      <c r="D20" s="21" t="inlineStr">
        <is>
          <t>Borg&amp;Overström</t>
        </is>
      </c>
      <c r="E20" s="21" t="inlineStr">
        <is>
          <t>701076</t>
        </is>
      </c>
      <c r="F20" s="22" t="n">
        <v>13</v>
      </c>
      <c r="G20" s="22" t="n"/>
      <c r="H20" s="21" t="inlineStr"/>
    </row>
    <row r="21">
      <c r="A21" s="4" t="inlineStr">
        <is>
          <t>BW-0173</t>
        </is>
      </c>
      <c r="B21" s="21" t="inlineStr">
        <is>
          <t>Flow compensator 8mm</t>
        </is>
      </c>
      <c r="C21" s="21" t="inlineStr">
        <is>
          <t>BOX 30E; BOX 30</t>
        </is>
      </c>
      <c r="D21" s="21" t="inlineStr">
        <is>
          <t>Borg&amp;Overström</t>
        </is>
      </c>
      <c r="E21" s="21" t="inlineStr">
        <is>
          <t>701263</t>
        </is>
      </c>
      <c r="F21" s="22" t="n">
        <v>32</v>
      </c>
      <c r="G21" s="22" t="n"/>
      <c r="H21" s="21" t="inlineStr"/>
    </row>
    <row r="22">
      <c r="A22" s="4" t="inlineStr">
        <is>
          <t>BW-0174</t>
        </is>
      </c>
      <c r="B22" s="21" t="inlineStr">
        <is>
          <t>PCB Control board 30 - B</t>
        </is>
      </c>
      <c r="C22" s="21" t="inlineStr">
        <is>
          <t>BOX 30</t>
        </is>
      </c>
      <c r="D22" s="21" t="inlineStr">
        <is>
          <t>Borg&amp;Overström</t>
        </is>
      </c>
      <c r="E22" s="21" t="inlineStr">
        <is>
          <t>720148</t>
        </is>
      </c>
      <c r="F22" s="22" t="n">
        <v>154</v>
      </c>
      <c r="G22" s="22" t="n"/>
      <c r="H22" s="21" t="inlineStr"/>
    </row>
    <row r="23">
      <c r="A23" s="4" t="inlineStr">
        <is>
          <t>BW-0175</t>
        </is>
      </c>
      <c r="B23" s="21" t="inlineStr">
        <is>
          <t>Inlet solenoids 3/4" BSP</t>
        </is>
      </c>
      <c r="C23" s="21" t="inlineStr">
        <is>
          <t>BOX 30E</t>
        </is>
      </c>
      <c r="D23" s="21" t="inlineStr">
        <is>
          <t>Borg&amp;Overström</t>
        </is>
      </c>
      <c r="E23" s="21" t="inlineStr">
        <is>
          <t>701094</t>
        </is>
      </c>
      <c r="F23" s="22" t="n">
        <v>35</v>
      </c>
      <c r="G23" s="22" t="n"/>
      <c r="H23" s="21" t="inlineStr"/>
    </row>
    <row r="24">
      <c r="A24" s="4" t="inlineStr">
        <is>
          <t>BW-0176</t>
        </is>
      </c>
      <c r="B24" s="21" t="inlineStr">
        <is>
          <t>Solenoids 30E - B</t>
        </is>
      </c>
      <c r="C24" s="21" t="inlineStr">
        <is>
          <t>BOX 30E</t>
        </is>
      </c>
      <c r="D24" s="21" t="inlineStr">
        <is>
          <t>Borg&amp;Overström</t>
        </is>
      </c>
      <c r="E24" s="21" t="inlineStr">
        <is>
          <t>701515</t>
        </is>
      </c>
      <c r="F24" s="22" t="n">
        <v>72</v>
      </c>
      <c r="G24" s="22" t="n"/>
      <c r="H24" s="21" t="inlineStr"/>
    </row>
    <row r="25">
      <c r="A25" s="4" t="inlineStr">
        <is>
          <t>BW-0177</t>
        </is>
      </c>
      <c r="B25" s="21" t="inlineStr">
        <is>
          <t>BAR1 Tap outlet</t>
        </is>
      </c>
      <c r="C25" s="21" t="inlineStr">
        <is>
          <t>BAR1</t>
        </is>
      </c>
      <c r="D25" s="21" t="inlineStr">
        <is>
          <t>Borg&amp;Overström</t>
        </is>
      </c>
      <c r="E25" s="21" t="inlineStr">
        <is>
          <t>604032</t>
        </is>
      </c>
      <c r="F25" s="22" t="n">
        <v>105</v>
      </c>
      <c r="G25" s="22" t="n"/>
      <c r="H25" s="21" t="inlineStr"/>
    </row>
    <row r="26">
      <c r="A26" s="4" t="inlineStr">
        <is>
          <t>BW-0178</t>
        </is>
      </c>
      <c r="B26" s="21" t="inlineStr">
        <is>
          <t>BAR1 BE WTR label set</t>
        </is>
      </c>
      <c r="C26" s="21" t="inlineStr">
        <is>
          <t>BAR1</t>
        </is>
      </c>
      <c r="D26" s="21" t="inlineStr">
        <is>
          <t>Borg&amp;Overström</t>
        </is>
      </c>
      <c r="E26" s="21" t="inlineStr">
        <is>
          <t>701148</t>
        </is>
      </c>
      <c r="F26" s="22" t="n">
        <v>9</v>
      </c>
      <c r="G26" s="22" t="n"/>
      <c r="H26" s="21" t="inlineStr"/>
    </row>
    <row r="27">
      <c r="A27" s="4" t="inlineStr">
        <is>
          <t>BW-0179</t>
        </is>
      </c>
      <c r="B27" s="21" t="inlineStr">
        <is>
          <t>PRO2 Solenoids</t>
        </is>
      </c>
      <c r="C27" s="21" t="inlineStr">
        <is>
          <t>PRO2</t>
        </is>
      </c>
      <c r="D27" s="21" t="inlineStr">
        <is>
          <t>Borg&amp;Overström</t>
        </is>
      </c>
      <c r="E27" s="21" t="inlineStr">
        <is>
          <t>173241</t>
        </is>
      </c>
      <c r="F27" s="22" t="n">
        <v>22</v>
      </c>
      <c r="G27" s="22" t="n"/>
      <c r="H27" s="21" t="inlineStr"/>
    </row>
    <row r="28">
      <c r="A28" s="4" t="inlineStr">
        <is>
          <t>BW-0180</t>
        </is>
      </c>
      <c r="B28" s="21" t="inlineStr">
        <is>
          <t>PRO2 Cold thermostat</t>
        </is>
      </c>
      <c r="C28" s="21" t="inlineStr">
        <is>
          <t>PRO2</t>
        </is>
      </c>
      <c r="D28" s="21" t="inlineStr">
        <is>
          <t>Borg&amp;Overström</t>
        </is>
      </c>
      <c r="E28" s="21" t="inlineStr">
        <is>
          <t>173264</t>
        </is>
      </c>
      <c r="F28" s="22" t="n">
        <v>19</v>
      </c>
      <c r="G28" s="22" t="n"/>
      <c r="H28" s="21" t="inlineStr"/>
    </row>
    <row r="29">
      <c r="A29" s="4" t="inlineStr">
        <is>
          <t>BW-0181</t>
        </is>
      </c>
      <c r="B29" s="21" t="inlineStr">
        <is>
          <t>PRO2 Fan</t>
        </is>
      </c>
      <c r="C29" s="21" t="inlineStr">
        <is>
          <t>PRO2</t>
        </is>
      </c>
      <c r="D29" s="21" t="inlineStr">
        <is>
          <t>Borg&amp;Overström</t>
        </is>
      </c>
      <c r="E29" s="21" t="inlineStr">
        <is>
          <t>174351</t>
        </is>
      </c>
      <c r="F29" s="22" t="n">
        <v>25</v>
      </c>
      <c r="G29" s="22" t="n"/>
      <c r="H29" s="21" t="inlineStr"/>
    </row>
    <row r="30">
      <c r="A30" s="4" t="inlineStr">
        <is>
          <t>BW-0182</t>
        </is>
      </c>
      <c r="B30" s="21" t="inlineStr">
        <is>
          <t>PRO2 Tank circulation pump</t>
        </is>
      </c>
      <c r="C30" s="21" t="inlineStr">
        <is>
          <t>PRO2</t>
        </is>
      </c>
      <c r="D30" s="21" t="inlineStr">
        <is>
          <t>Borg&amp;Overström</t>
        </is>
      </c>
      <c r="E30" s="21" t="inlineStr">
        <is>
          <t>175363</t>
        </is>
      </c>
      <c r="F30" s="22" t="n">
        <v>30</v>
      </c>
      <c r="G30" s="22" t="n"/>
      <c r="H30" s="21" t="inlineStr"/>
    </row>
    <row r="31">
      <c r="A31" s="4" t="inlineStr">
        <is>
          <t>BW-0183</t>
        </is>
      </c>
      <c r="B31" s="21" t="inlineStr">
        <is>
          <t>Immersion pump</t>
        </is>
      </c>
      <c r="C31" s="21" t="inlineStr">
        <is>
          <t>BOX 80; BOX 150</t>
        </is>
      </c>
      <c r="D31" s="21" t="inlineStr">
        <is>
          <t>Blupura</t>
        </is>
      </c>
      <c r="E31" s="21" t="inlineStr">
        <is>
          <t>810320</t>
        </is>
      </c>
      <c r="F31" s="22" t="n">
        <v>21</v>
      </c>
      <c r="G31" s="22" t="n">
        <v>10.5</v>
      </c>
      <c r="H31" s="21" t="inlineStr"/>
    </row>
    <row r="32">
      <c r="A32" s="4" t="inlineStr">
        <is>
          <t>BW-0184</t>
        </is>
      </c>
      <c r="B32" s="21" t="inlineStr">
        <is>
          <t>Pump 100L/h</t>
        </is>
      </c>
      <c r="C32" s="21" t="inlineStr">
        <is>
          <t>BOX 80</t>
        </is>
      </c>
      <c r="D32" s="21" t="inlineStr">
        <is>
          <t>Blupura</t>
        </is>
      </c>
      <c r="E32" s="21" t="inlineStr">
        <is>
          <t>130049</t>
        </is>
      </c>
      <c r="F32" s="22" t="n">
        <v>121</v>
      </c>
      <c r="G32" s="22" t="n">
        <v>68.59999999999999</v>
      </c>
      <c r="H32" s="21" t="inlineStr"/>
    </row>
    <row r="33">
      <c r="A33" s="4" t="inlineStr">
        <is>
          <t>BW-0185</t>
        </is>
      </c>
      <c r="B33" s="21" t="inlineStr">
        <is>
          <t>Flow compensator 8mm</t>
        </is>
      </c>
      <c r="C33" s="21" t="inlineStr">
        <is>
          <t>BAR2 Double; BAR2 Touchless</t>
        </is>
      </c>
      <c r="D33" s="21" t="inlineStr">
        <is>
          <t>Blupura</t>
        </is>
      </c>
      <c r="E33" s="21" t="inlineStr">
        <is>
          <t>140194</t>
        </is>
      </c>
      <c r="F33" s="22" t="n">
        <v>30</v>
      </c>
      <c r="G33" s="22" t="n">
        <v>15.4</v>
      </c>
      <c r="H33" s="21" t="inlineStr"/>
    </row>
    <row r="34">
      <c r="A34" s="4" t="inlineStr">
        <is>
          <t>BW-0186</t>
        </is>
      </c>
      <c r="B34" s="21" t="inlineStr">
        <is>
          <t>Cold thermostat - ice bank</t>
        </is>
      </c>
      <c r="C34" s="21" t="inlineStr">
        <is>
          <t>BOX 80; BOX 150</t>
        </is>
      </c>
      <c r="D34" s="21" t="inlineStr">
        <is>
          <t>Blupura</t>
        </is>
      </c>
      <c r="E34" s="21" t="inlineStr">
        <is>
          <t>150031</t>
        </is>
      </c>
      <c r="F34" s="22" t="n">
        <v>24</v>
      </c>
      <c r="G34" s="22" t="n">
        <v>12.2</v>
      </c>
      <c r="H34" s="21" t="inlineStr"/>
    </row>
    <row r="35">
      <c r="A35" s="4" t="inlineStr">
        <is>
          <t>BW-0187</t>
        </is>
      </c>
      <c r="B35" s="21" t="inlineStr">
        <is>
          <t>Level controller</t>
        </is>
      </c>
      <c r="C35" s="21" t="inlineStr">
        <is>
          <t>BOX 80; BOX 150; BOX 15</t>
        </is>
      </c>
      <c r="D35" s="21" t="inlineStr">
        <is>
          <t>Blupura</t>
        </is>
      </c>
      <c r="E35" s="21" t="inlineStr">
        <is>
          <t>150385</t>
        </is>
      </c>
      <c r="F35" s="22" t="n">
        <v>89</v>
      </c>
      <c r="G35" s="22" t="n">
        <v>49.1</v>
      </c>
      <c r="H35" s="21" t="inlineStr"/>
    </row>
    <row r="36">
      <c r="A36" s="4" t="inlineStr">
        <is>
          <t>BW-0188</t>
        </is>
      </c>
      <c r="B36" s="21" t="inlineStr">
        <is>
          <t>Motor for pump 200L/h</t>
        </is>
      </c>
      <c r="C36" s="21" t="inlineStr">
        <is>
          <t>BOX 150</t>
        </is>
      </c>
      <c r="D36" s="21" t="inlineStr">
        <is>
          <t>Blupura</t>
        </is>
      </c>
      <c r="E36" s="21" t="inlineStr">
        <is>
          <t>130005A</t>
        </is>
      </c>
      <c r="F36" s="22" t="n">
        <v>152</v>
      </c>
      <c r="G36" s="22" t="n"/>
      <c r="H36" s="21" t="inlineStr"/>
    </row>
    <row r="37">
      <c r="A37" s="4" t="inlineStr">
        <is>
          <t>BW-0189</t>
        </is>
      </c>
      <c r="B37" s="21" t="inlineStr">
        <is>
          <t>Fan 200x200</t>
        </is>
      </c>
      <c r="C37" s="21" t="inlineStr">
        <is>
          <t>BOX 150</t>
        </is>
      </c>
      <c r="D37" s="21" t="inlineStr">
        <is>
          <t>Blupura</t>
        </is>
      </c>
      <c r="E37" s="21" t="inlineStr">
        <is>
          <t>750066</t>
        </is>
      </c>
      <c r="F37" s="22" t="n">
        <v>55</v>
      </c>
      <c r="G37" s="22" t="n"/>
      <c r="H37" s="21" t="inlineStr"/>
    </row>
    <row r="38">
      <c r="A38" s="4" t="inlineStr">
        <is>
          <t>BW-0190</t>
        </is>
      </c>
      <c r="B38" s="21" t="inlineStr">
        <is>
          <t>UV Lamp</t>
        </is>
      </c>
      <c r="C38" s="21" t="inlineStr">
        <is>
          <t>BAR2 Double; BAR2 Touchless</t>
        </is>
      </c>
      <c r="D38" s="21" t="inlineStr">
        <is>
          <t>Blupura</t>
        </is>
      </c>
      <c r="E38" s="21" t="inlineStr">
        <is>
          <t>150068</t>
        </is>
      </c>
      <c r="F38" s="22" t="n">
        <v>6</v>
      </c>
      <c r="G38" s="22" t="n">
        <v>2.7</v>
      </c>
      <c r="H38" s="21" t="inlineStr"/>
    </row>
    <row r="39">
      <c r="A39" s="4" t="inlineStr">
        <is>
          <t>BW-0191</t>
        </is>
      </c>
      <c r="B39" s="21" t="inlineStr">
        <is>
          <t>Fan 120x120</t>
        </is>
      </c>
      <c r="C39" s="21" t="inlineStr">
        <is>
          <t>BOX 15</t>
        </is>
      </c>
      <c r="D39" s="21" t="inlineStr">
        <is>
          <t>Blupura</t>
        </is>
      </c>
      <c r="E39" s="21" t="inlineStr">
        <is>
          <t>120232</t>
        </is>
      </c>
      <c r="F39" s="22" t="n">
        <v>42</v>
      </c>
      <c r="G39" s="22" t="n"/>
      <c r="H39" s="21" t="inlineStr"/>
    </row>
    <row r="40">
      <c r="A40" s="4" t="inlineStr">
        <is>
          <t>BW-0192</t>
        </is>
      </c>
      <c r="B40" s="21" t="inlineStr">
        <is>
          <t>BOX 15 - Pump</t>
        </is>
      </c>
      <c r="C40" s="21" t="inlineStr">
        <is>
          <t>BOX 15</t>
        </is>
      </c>
      <c r="D40" s="21" t="inlineStr">
        <is>
          <t>Blupura</t>
        </is>
      </c>
      <c r="E40" s="21" t="inlineStr">
        <is>
          <t>130053</t>
        </is>
      </c>
      <c r="F40" s="22" t="n">
        <v>264</v>
      </c>
      <c r="G40" s="22" t="n">
        <v>138.7</v>
      </c>
      <c r="H40" s="21" t="inlineStr"/>
    </row>
    <row r="41">
      <c r="A41" s="4" t="inlineStr">
        <is>
          <t>BW-0193</t>
        </is>
      </c>
      <c r="B41" s="21" t="inlineStr">
        <is>
          <t>Flow compensator 6mm</t>
        </is>
      </c>
      <c r="C41" s="21" t="inlineStr">
        <is>
          <t>BOX 15</t>
        </is>
      </c>
      <c r="D41" s="21" t="inlineStr">
        <is>
          <t>Blupura</t>
        </is>
      </c>
      <c r="E41" s="21" t="inlineStr">
        <is>
          <t>140092</t>
        </is>
      </c>
      <c r="F41" s="22" t="n">
        <v>29</v>
      </c>
      <c r="G41" s="22" t="n">
        <v>15.4</v>
      </c>
      <c r="H41" s="21" t="inlineStr"/>
    </row>
    <row r="42">
      <c r="A42" s="4" t="inlineStr">
        <is>
          <t>BW-0194</t>
        </is>
      </c>
      <c r="B42" s="21" t="inlineStr">
        <is>
          <t>Cold thermostat - 15</t>
        </is>
      </c>
      <c r="C42" s="21" t="inlineStr">
        <is>
          <t>BOX 15</t>
        </is>
      </c>
      <c r="D42" s="21" t="inlineStr">
        <is>
          <t>Blupura</t>
        </is>
      </c>
      <c r="E42" s="21" t="inlineStr">
        <is>
          <t>150525</t>
        </is>
      </c>
      <c r="F42" s="22" t="n">
        <v>22</v>
      </c>
      <c r="G42" s="22" t="n">
        <v>11</v>
      </c>
      <c r="H42" s="21" t="inlineStr"/>
    </row>
    <row r="43">
      <c r="A43" s="4" t="inlineStr">
        <is>
          <t>BW-0195</t>
        </is>
      </c>
      <c r="B43" s="21" t="inlineStr">
        <is>
          <t>Fan 120x120x38</t>
        </is>
      </c>
      <c r="C43" s="21" t="inlineStr">
        <is>
          <t>BOX 80</t>
        </is>
      </c>
      <c r="D43" s="21" t="inlineStr">
        <is>
          <t>Blupura</t>
        </is>
      </c>
      <c r="E43" s="21" t="inlineStr">
        <is>
          <t>750243</t>
        </is>
      </c>
      <c r="F43" s="22" t="n">
        <v>40</v>
      </c>
      <c r="G43" s="22" t="n">
        <v>21.6</v>
      </c>
      <c r="H43" s="21" t="inlineStr"/>
    </row>
    <row r="44">
      <c r="A44" s="4" t="inlineStr">
        <is>
          <t>BW-0275</t>
        </is>
      </c>
      <c r="B44" s="21" t="inlineStr">
        <is>
          <t>PRO1 - outlet metal</t>
        </is>
      </c>
      <c r="C44" s="21" t="inlineStr">
        <is>
          <t>PRO1</t>
        </is>
      </c>
      <c r="D44" s="21" t="inlineStr">
        <is>
          <t>Borg&amp;Overström</t>
        </is>
      </c>
      <c r="E44" s="21" t="inlineStr">
        <is>
          <t>701443</t>
        </is>
      </c>
      <c r="F44" s="22" t="n">
        <v>30</v>
      </c>
      <c r="G44" s="22" t="n"/>
      <c r="H44" s="21" t="inlineStr"/>
    </row>
    <row r="45">
      <c r="A45" s="4" t="inlineStr">
        <is>
          <t>BW-0276</t>
        </is>
      </c>
      <c r="B45" s="21" t="inlineStr">
        <is>
          <t>PRO1 - outlet black</t>
        </is>
      </c>
      <c r="C45" s="21" t="inlineStr">
        <is>
          <t>PRO1</t>
        </is>
      </c>
      <c r="D45" s="21" t="inlineStr">
        <is>
          <t>Borg&amp;Overström</t>
        </is>
      </c>
      <c r="E45" s="21" t="inlineStr">
        <is>
          <t>701453</t>
        </is>
      </c>
      <c r="F45" s="22" t="n">
        <v>30</v>
      </c>
      <c r="G45" s="22" t="n"/>
      <c r="H45" s="21" t="inlineStr"/>
    </row>
    <row r="46">
      <c r="A46" s="4" t="inlineStr">
        <is>
          <t>BW-0277</t>
        </is>
      </c>
      <c r="B46" s="21" t="inlineStr">
        <is>
          <t>PRO1 - touch panel - A</t>
        </is>
      </c>
      <c r="C46" s="21" t="inlineStr">
        <is>
          <t>PRO1</t>
        </is>
      </c>
      <c r="D46" s="21" t="inlineStr">
        <is>
          <t>Borg&amp;Overström</t>
        </is>
      </c>
      <c r="E46" s="21" t="inlineStr">
        <is>
          <t>720215</t>
        </is>
      </c>
      <c r="F46" s="22" t="n">
        <v>149</v>
      </c>
      <c r="G46" s="22" t="n"/>
      <c r="H46" s="21" t="inlineStr"/>
    </row>
    <row r="47">
      <c r="A47" s="4" t="inlineStr">
        <is>
          <t>BW-0278</t>
        </is>
      </c>
      <c r="B47" s="21" t="inlineStr">
        <is>
          <t>PRO1 - Laminar flow outlet</t>
        </is>
      </c>
      <c r="C47" s="21" t="inlineStr">
        <is>
          <t>PRO1</t>
        </is>
      </c>
      <c r="D47" s="21" t="inlineStr">
        <is>
          <t>Borg&amp;Overström</t>
        </is>
      </c>
      <c r="E47" s="21" t="inlineStr">
        <is>
          <t>700092</t>
        </is>
      </c>
      <c r="F47" s="22" t="n">
        <v>7.5</v>
      </c>
      <c r="G47" s="22" t="n"/>
      <c r="H47" s="21" t="inlineStr"/>
    </row>
    <row r="48">
      <c r="A48" s="4" t="inlineStr">
        <is>
          <t>BW-0279</t>
        </is>
      </c>
      <c r="B48" s="21" t="inlineStr">
        <is>
          <t>Power supply 12V 30 - A</t>
        </is>
      </c>
      <c r="C48" s="21" t="inlineStr">
        <is>
          <t>PRO1</t>
        </is>
      </c>
      <c r="D48" s="21" t="inlineStr">
        <is>
          <t>Borg&amp;Overström</t>
        </is>
      </c>
      <c r="E48" s="21" t="inlineStr">
        <is>
          <t>637417</t>
        </is>
      </c>
      <c r="F48" s="22" t="n">
        <v>93</v>
      </c>
      <c r="G48" s="22" t="n"/>
      <c r="H48" s="21" t="inlineStr"/>
    </row>
    <row r="49">
      <c r="A49" s="4" t="inlineStr">
        <is>
          <t>BW-0280</t>
        </is>
      </c>
      <c r="B49" s="21" t="inlineStr">
        <is>
          <t>PRO1 touch panel 30E - B</t>
        </is>
      </c>
      <c r="C49" s="21" t="inlineStr">
        <is>
          <t>PRO1</t>
        </is>
      </c>
      <c r="D49" s="21" t="inlineStr">
        <is>
          <t>Borg&amp;Overström</t>
        </is>
      </c>
      <c r="E49" s="21" t="inlineStr">
        <is>
          <t>701012</t>
        </is>
      </c>
      <c r="F49" s="22" t="n">
        <v>145</v>
      </c>
      <c r="G49" s="22" t="n"/>
      <c r="H49" s="21" t="inlineStr"/>
    </row>
    <row r="50">
      <c r="A50" s="4" t="inlineStr">
        <is>
          <t>BW-0281</t>
        </is>
      </c>
      <c r="B50" s="21" t="inlineStr">
        <is>
          <t>Left panel 30 - B</t>
        </is>
      </c>
      <c r="C50" s="21" t="inlineStr">
        <is>
          <t>BOX 30E; BOX 30</t>
        </is>
      </c>
      <c r="D50" s="21" t="inlineStr">
        <is>
          <t>Borg&amp;Overström</t>
        </is>
      </c>
      <c r="E50" s="21" t="inlineStr">
        <is>
          <t>720113</t>
        </is>
      </c>
      <c r="F50" s="22" t="n">
        <v>33</v>
      </c>
      <c r="G50" s="22" t="n"/>
      <c r="H50" s="21" t="inlineStr"/>
    </row>
    <row r="51">
      <c r="A51" s="4" t="inlineStr">
        <is>
          <t>BW-0282</t>
        </is>
      </c>
      <c r="B51" s="21" t="inlineStr">
        <is>
          <t>Right panel 30 - B</t>
        </is>
      </c>
      <c r="C51" s="21" t="inlineStr">
        <is>
          <t>BOX 30E; BOX 30</t>
        </is>
      </c>
      <c r="D51" s="21" t="inlineStr">
        <is>
          <t>Borg&amp;Overström</t>
        </is>
      </c>
      <c r="E51" s="21" t="inlineStr">
        <is>
          <t>720117</t>
        </is>
      </c>
      <c r="F51" s="22" t="n">
        <v>33</v>
      </c>
      <c r="G51" s="22" t="n"/>
      <c r="H51" s="21" t="inlineStr"/>
    </row>
    <row r="52">
      <c r="A52" s="4" t="inlineStr">
        <is>
          <t>BW-0283</t>
        </is>
      </c>
      <c r="B52" s="21" t="inlineStr">
        <is>
          <t>Top panel 30 - B</t>
        </is>
      </c>
      <c r="C52" s="21" t="inlineStr">
        <is>
          <t>BOX 30E; BOX 30</t>
        </is>
      </c>
      <c r="D52" s="21" t="inlineStr">
        <is>
          <t>Borg&amp;Overström</t>
        </is>
      </c>
      <c r="E52" s="21" t="inlineStr">
        <is>
          <t>700721</t>
        </is>
      </c>
      <c r="F52" s="22" t="n">
        <v>27</v>
      </c>
      <c r="G52" s="22" t="n"/>
      <c r="H52" s="21" t="inlineStr"/>
    </row>
    <row r="53">
      <c r="A53" s="4" t="inlineStr">
        <is>
          <t>BW-0284</t>
        </is>
      </c>
      <c r="B53" s="21" t="inlineStr">
        <is>
          <t>Front panel 30 - B</t>
        </is>
      </c>
      <c r="C53" s="21" t="inlineStr">
        <is>
          <t>BOX 30E; BOX 30</t>
        </is>
      </c>
      <c r="D53" s="21" t="inlineStr">
        <is>
          <t>Borg&amp;Overström</t>
        </is>
      </c>
      <c r="E53" s="21" t="inlineStr">
        <is>
          <t>720045</t>
        </is>
      </c>
      <c r="F53" s="22" t="n">
        <v>115</v>
      </c>
      <c r="G53" s="22" t="n"/>
      <c r="H53" s="21" t="inlineStr"/>
    </row>
    <row r="54">
      <c r="A54" s="4" t="inlineStr">
        <is>
          <t>BW-0285</t>
        </is>
      </c>
      <c r="B54" s="21" t="inlineStr">
        <is>
          <t>BAR1 Core</t>
        </is>
      </c>
      <c r="C54" s="21" t="inlineStr">
        <is>
          <t>BAR1</t>
        </is>
      </c>
      <c r="D54" s="21" t="inlineStr">
        <is>
          <t>Borg&amp;Overström</t>
        </is>
      </c>
      <c r="E54" s="21" t="inlineStr">
        <is>
          <t>604606</t>
        </is>
      </c>
      <c r="F54" s="22" t="n">
        <v>315</v>
      </c>
      <c r="G54" s="22" t="n"/>
      <c r="H54" s="21" t="inlineStr"/>
    </row>
    <row r="55">
      <c r="A55" s="4" t="inlineStr">
        <is>
          <t>BW-0286</t>
        </is>
      </c>
      <c r="B55" s="21" t="inlineStr">
        <is>
          <t>BAR1 outlet spacer</t>
        </is>
      </c>
      <c r="C55" s="21" t="inlineStr">
        <is>
          <t>BAR1</t>
        </is>
      </c>
      <c r="D55" s="21" t="inlineStr">
        <is>
          <t>Borg&amp;Overström</t>
        </is>
      </c>
      <c r="E55" s="21" t="inlineStr">
        <is>
          <t>604010</t>
        </is>
      </c>
      <c r="F55" s="22" t="n">
        <v>7</v>
      </c>
      <c r="G55" s="22" t="n"/>
      <c r="H55" s="21" t="inlineStr"/>
    </row>
    <row r="56">
      <c r="A56" s="4" t="inlineStr">
        <is>
          <t>BW-0287</t>
        </is>
      </c>
      <c r="B56" s="21" t="inlineStr">
        <is>
          <t>Carbonator bowl 1L - 80</t>
        </is>
      </c>
      <c r="C56" s="21" t="inlineStr">
        <is>
          <t>BOX 80</t>
        </is>
      </c>
      <c r="D56" s="21" t="inlineStr">
        <is>
          <t>Blupura</t>
        </is>
      </c>
      <c r="E56" s="21" t="inlineStr">
        <is>
          <t>130009</t>
        </is>
      </c>
      <c r="F56" s="22" t="n">
        <v>132</v>
      </c>
      <c r="G56" s="22" t="n">
        <v>72</v>
      </c>
      <c r="H56" s="21" t="inlineStr"/>
    </row>
    <row r="57">
      <c r="A57" s="4" t="inlineStr">
        <is>
          <t>BW-0288</t>
        </is>
      </c>
      <c r="B57" s="21" t="inlineStr">
        <is>
          <t>Carbonator bowl 1L</t>
        </is>
      </c>
      <c r="C57" s="21" t="inlineStr">
        <is>
          <t>BOX 150</t>
        </is>
      </c>
      <c r="D57" s="21" t="inlineStr">
        <is>
          <t>Blupura</t>
        </is>
      </c>
      <c r="E57" s="21" t="inlineStr">
        <is>
          <t>130008</t>
        </is>
      </c>
      <c r="F57" s="22" t="n">
        <v>160</v>
      </c>
      <c r="G57" s="22" t="n"/>
      <c r="H57" s="21" t="inlineStr"/>
    </row>
    <row r="58">
      <c r="A58" s="4" t="inlineStr">
        <is>
          <t>BW-0289</t>
        </is>
      </c>
      <c r="B58" s="21" t="inlineStr">
        <is>
          <t>BAR2 - Cover nozzle</t>
        </is>
      </c>
      <c r="C58" s="21" t="inlineStr">
        <is>
          <t>BAR2 Double; BAR2 Touchless</t>
        </is>
      </c>
      <c r="D58" s="21" t="inlineStr">
        <is>
          <t>Blupura</t>
        </is>
      </c>
      <c r="E58" s="21" t="inlineStr">
        <is>
          <t>750230</t>
        </is>
      </c>
      <c r="F58" s="22" t="n">
        <v>52</v>
      </c>
      <c r="G58" s="22" t="n">
        <v>27.3</v>
      </c>
      <c r="H58" s="21" t="inlineStr"/>
    </row>
    <row r="59">
      <c r="A59" s="4" t="inlineStr">
        <is>
          <t>BW-0290</t>
        </is>
      </c>
      <c r="B59" s="21" t="inlineStr">
        <is>
          <t>BAR2 - Main board</t>
        </is>
      </c>
      <c r="C59" s="21" t="inlineStr">
        <is>
          <t>BAR2 Double; BAR2 Touchless</t>
        </is>
      </c>
      <c r="D59" s="21" t="inlineStr">
        <is>
          <t>Blupura</t>
        </is>
      </c>
      <c r="E59" s="21" t="inlineStr">
        <is>
          <t>150576</t>
        </is>
      </c>
      <c r="F59" s="22" t="n">
        <v>93</v>
      </c>
      <c r="G59" s="22" t="n">
        <v>49.1</v>
      </c>
      <c r="H59" s="21" t="inlineStr"/>
    </row>
    <row r="60">
      <c r="A60" s="4" t="inlineStr">
        <is>
          <t>BW-0291</t>
        </is>
      </c>
      <c r="B60" s="21" t="inlineStr">
        <is>
          <t>ELV 2 in 6 - out 8</t>
        </is>
      </c>
      <c r="C60" s="21" t="inlineStr">
        <is>
          <t>BAR2 Double; BAR2 Touchless</t>
        </is>
      </c>
      <c r="D60" s="21" t="inlineStr">
        <is>
          <t>Blupura</t>
        </is>
      </c>
      <c r="E60" s="21" t="inlineStr">
        <is>
          <t>150551</t>
        </is>
      </c>
      <c r="F60" s="22" t="n">
        <v>47.5</v>
      </c>
      <c r="G60" s="22" t="n">
        <v>24.2</v>
      </c>
      <c r="H60" s="21" t="inlineStr"/>
    </row>
    <row r="61">
      <c r="A61" s="4" t="inlineStr">
        <is>
          <t>BW-0292</t>
        </is>
      </c>
      <c r="B61" s="21" t="inlineStr">
        <is>
          <t>BAR2 - Volumetric counter</t>
        </is>
      </c>
      <c r="C61" s="21" t="inlineStr">
        <is>
          <t>BAR2 Double; BAR2 Touchless</t>
        </is>
      </c>
      <c r="D61" s="21" t="inlineStr">
        <is>
          <t>Blupura</t>
        </is>
      </c>
      <c r="E61" s="21" t="inlineStr">
        <is>
          <t>150388</t>
        </is>
      </c>
      <c r="F61" s="22" t="n">
        <v>49</v>
      </c>
      <c r="G61" s="22" t="n">
        <v>25.9</v>
      </c>
      <c r="H61" s="21" t="inlineStr"/>
    </row>
    <row r="62">
      <c r="A62" s="4" t="inlineStr">
        <is>
          <t>BW-0293</t>
        </is>
      </c>
      <c r="B62" s="21" t="inlineStr">
        <is>
          <t>BAR2 - Transformator</t>
        </is>
      </c>
      <c r="C62" s="21" t="inlineStr">
        <is>
          <t>BAR2 Double; BAR2 Touchless</t>
        </is>
      </c>
      <c r="D62" s="21" t="inlineStr">
        <is>
          <t>Blupura</t>
        </is>
      </c>
      <c r="E62" s="21" t="inlineStr">
        <is>
          <t>150016</t>
        </is>
      </c>
      <c r="F62" s="22" t="n">
        <v>39</v>
      </c>
      <c r="G62" s="22" t="n">
        <v>19.7</v>
      </c>
      <c r="H62" s="21" t="inlineStr"/>
    </row>
    <row r="63">
      <c r="A63" s="4" t="inlineStr">
        <is>
          <t>BW-0294</t>
        </is>
      </c>
      <c r="B63" s="21" t="inlineStr">
        <is>
          <t>BAR2 - Touch free push buttons</t>
        </is>
      </c>
      <c r="C63" s="21" t="inlineStr">
        <is>
          <t>BAR2 Touchless</t>
        </is>
      </c>
      <c r="D63" s="21" t="inlineStr">
        <is>
          <t>Blupura</t>
        </is>
      </c>
      <c r="E63" s="21" t="inlineStr">
        <is>
          <t>810620</t>
        </is>
      </c>
      <c r="F63" s="22" t="n">
        <v>95</v>
      </c>
      <c r="G63" s="22" t="n">
        <v>50.3</v>
      </c>
      <c r="H63" s="21" t="inlineStr"/>
    </row>
    <row r="64">
      <c r="A64" s="4" t="inlineStr">
        <is>
          <t>BW-0295</t>
        </is>
      </c>
      <c r="B64" s="21" t="inlineStr">
        <is>
          <t>BAR2 - Drip tray</t>
        </is>
      </c>
      <c r="C64" s="21" t="inlineStr">
        <is>
          <t>BAR2 Double; BAR2 Touchless</t>
        </is>
      </c>
      <c r="D64" s="21" t="inlineStr">
        <is>
          <t>Blupura</t>
        </is>
      </c>
      <c r="E64" s="21" t="inlineStr">
        <is>
          <t>750309</t>
        </is>
      </c>
      <c r="F64" s="22" t="n">
        <v>90</v>
      </c>
      <c r="G64" s="22" t="n"/>
      <c r="H64" s="21" t="inlineStr"/>
    </row>
    <row r="65">
      <c r="A65" s="4" t="inlineStr">
        <is>
          <t>BW-0296</t>
        </is>
      </c>
      <c r="B65" s="21" t="inlineStr">
        <is>
          <t>PRO2 front panel white</t>
        </is>
      </c>
      <c r="C65" s="21" t="inlineStr">
        <is>
          <t>PRO2</t>
        </is>
      </c>
      <c r="D65" s="21" t="inlineStr">
        <is>
          <t>Borg&amp;Overström</t>
        </is>
      </c>
      <c r="E65" s="21" t="inlineStr">
        <is>
          <t>120801</t>
        </is>
      </c>
      <c r="F65" s="22" t="n">
        <v>41</v>
      </c>
      <c r="G65" s="22" t="n"/>
      <c r="H65" s="21" t="inlineStr"/>
    </row>
    <row r="66">
      <c r="A66" s="4" t="inlineStr">
        <is>
          <t>BW-0297</t>
        </is>
      </c>
      <c r="B66" s="21" t="inlineStr">
        <is>
          <t>PRO2 Upper front panel</t>
        </is>
      </c>
      <c r="C66" s="21" t="inlineStr">
        <is>
          <t>PRO2</t>
        </is>
      </c>
      <c r="D66" s="21" t="inlineStr">
        <is>
          <t>Borg&amp;Overström</t>
        </is>
      </c>
      <c r="E66" s="21" t="inlineStr">
        <is>
          <t>120803</t>
        </is>
      </c>
      <c r="F66" s="22" t="n">
        <v>41</v>
      </c>
      <c r="G66" s="22" t="n"/>
      <c r="H66" s="21" t="inlineStr"/>
    </row>
    <row r="67">
      <c r="A67" s="4" t="inlineStr">
        <is>
          <t>BW-0298</t>
        </is>
      </c>
      <c r="B67" s="21" t="inlineStr">
        <is>
          <t>PRO2 110V/240V Main board</t>
        </is>
      </c>
      <c r="C67" s="21" t="inlineStr">
        <is>
          <t>PRO2</t>
        </is>
      </c>
      <c r="D67" s="21" t="inlineStr">
        <is>
          <t>Borg&amp;Overström</t>
        </is>
      </c>
      <c r="E67" s="21" t="inlineStr">
        <is>
          <t>171260</t>
        </is>
      </c>
      <c r="F67" s="22" t="n">
        <v>83</v>
      </c>
      <c r="G67" s="22" t="n"/>
      <c r="H67" s="21" t="inlineStr"/>
    </row>
    <row r="68">
      <c r="A68" s="4" t="inlineStr">
        <is>
          <t>BW-0299</t>
        </is>
      </c>
      <c r="B68" s="21" t="inlineStr">
        <is>
          <t>PRO2 LED Display PCB</t>
        </is>
      </c>
      <c r="C68" s="21" t="inlineStr">
        <is>
          <t>PRO2</t>
        </is>
      </c>
      <c r="D68" s="21" t="inlineStr">
        <is>
          <t>Borg&amp;Overström</t>
        </is>
      </c>
      <c r="E68" s="21" t="inlineStr">
        <is>
          <t>171264</t>
        </is>
      </c>
      <c r="F68" s="22" t="n">
        <v>56</v>
      </c>
      <c r="G68" s="22" t="n"/>
      <c r="H68" s="21" t="inlineStr"/>
    </row>
    <row r="69">
      <c r="A69" s="4" t="inlineStr">
        <is>
          <t>BW-0300</t>
        </is>
      </c>
      <c r="B69" s="21" t="inlineStr">
        <is>
          <t>PRO2 Touch dispense screen PCB</t>
        </is>
      </c>
      <c r="C69" s="21" t="inlineStr">
        <is>
          <t>PRO2</t>
        </is>
      </c>
      <c r="D69" s="21" t="inlineStr">
        <is>
          <t>Borg&amp;Overström</t>
        </is>
      </c>
      <c r="E69" s="21" t="inlineStr">
        <is>
          <t>171265</t>
        </is>
      </c>
      <c r="F69" s="22" t="n">
        <v>56</v>
      </c>
      <c r="G69" s="22" t="n"/>
      <c r="H69" s="21" t="inlineStr"/>
    </row>
    <row r="70">
      <c r="A70" s="4" t="inlineStr">
        <is>
          <t>BW-0301</t>
        </is>
      </c>
      <c r="B70" s="21" t="inlineStr">
        <is>
          <t>PRO2 Power adapter 230V/24VDC 1.5A (Type A)</t>
        </is>
      </c>
      <c r="C70" s="21" t="inlineStr">
        <is>
          <t>PRO2</t>
        </is>
      </c>
      <c r="D70" s="21" t="inlineStr">
        <is>
          <t>Borg&amp;Overström</t>
        </is>
      </c>
      <c r="E70" s="21" t="inlineStr">
        <is>
          <t>174391</t>
        </is>
      </c>
      <c r="F70" s="22" t="n">
        <v>40</v>
      </c>
      <c r="G70" s="22" t="n"/>
      <c r="H70" s="21" t="inlineStr"/>
    </row>
    <row r="71">
      <c r="A71" s="4" t="inlineStr">
        <is>
          <t>BW-0302</t>
        </is>
      </c>
      <c r="B71" s="21" t="inlineStr">
        <is>
          <t>PRO2 chilled - ambient - sparkling touch screen control panel</t>
        </is>
      </c>
      <c r="C71" s="21" t="inlineStr">
        <is>
          <t>PRO2</t>
        </is>
      </c>
      <c r="D71" s="21" t="inlineStr">
        <is>
          <t>Borg&amp;Overström</t>
        </is>
      </c>
      <c r="E71" s="21" t="inlineStr">
        <is>
          <t>191005</t>
        </is>
      </c>
      <c r="F71" s="22" t="n">
        <v>199</v>
      </c>
      <c r="G71" s="22" t="n"/>
      <c r="H71" s="21" t="inlineStr"/>
    </row>
    <row r="72">
      <c r="A72" s="4" t="inlineStr">
        <is>
          <t>BW-0342</t>
        </is>
      </c>
      <c r="B72" s="21" t="inlineStr">
        <is>
          <t>AQTiV ONE - Drip tray grid</t>
        </is>
      </c>
      <c r="C72" s="21" t="inlineStr">
        <is>
          <t>AQTiV ONE</t>
        </is>
      </c>
      <c r="D72" s="21" t="inlineStr">
        <is>
          <t>Superinox</t>
        </is>
      </c>
      <c r="E72" s="21" t="inlineStr">
        <is>
          <t>?</t>
        </is>
      </c>
      <c r="F72" s="22" t="n"/>
      <c r="G72" s="22" t="n"/>
      <c r="H72" s="23" t="inlineStr">
        <is>
          <t>Prix à demander (AS*)</t>
        </is>
      </c>
    </row>
    <row r="73">
      <c r="A73" s="4" t="inlineStr">
        <is>
          <t>BW-0343</t>
        </is>
      </c>
      <c r="B73" s="21" t="inlineStr">
        <is>
          <t>Fixation set AQTiV ONE</t>
        </is>
      </c>
      <c r="C73" s="21" t="inlineStr">
        <is>
          <t>AQTiV ONE</t>
        </is>
      </c>
      <c r="D73" s="21" t="inlineStr">
        <is>
          <t>Superinox</t>
        </is>
      </c>
      <c r="E73" s="21" t="inlineStr">
        <is>
          <t>?</t>
        </is>
      </c>
      <c r="F73" s="22" t="n"/>
      <c r="G73" s="22" t="n"/>
      <c r="H73" s="23" t="inlineStr">
        <is>
          <t>Prix à demander (AS*)</t>
        </is>
      </c>
    </row>
    <row r="74">
      <c r="A74" s="4" t="inlineStr">
        <is>
          <t>BW-0344</t>
        </is>
      </c>
      <c r="B74" s="21" t="inlineStr">
        <is>
          <t>Fixation set AQTiV COMBI</t>
        </is>
      </c>
      <c r="C74" s="21" t="inlineStr">
        <is>
          <t>AQTiV COMBI</t>
        </is>
      </c>
      <c r="D74" s="21" t="inlineStr">
        <is>
          <t>Superinox</t>
        </is>
      </c>
      <c r="E74" s="21" t="inlineStr">
        <is>
          <t>?</t>
        </is>
      </c>
      <c r="F74" s="22" t="n"/>
      <c r="G74" s="22" t="n"/>
      <c r="H74" s="23" t="inlineStr">
        <is>
          <t>Prix à demander (AS*)</t>
        </is>
      </c>
    </row>
    <row r="75">
      <c r="A75" s="4" t="inlineStr">
        <is>
          <t>BW-0345</t>
        </is>
      </c>
      <c r="B75" s="21" t="inlineStr">
        <is>
          <t>Gearbox</t>
        </is>
      </c>
      <c r="C75" s="21" t="inlineStr">
        <is>
          <t>AQTiV COMBI; AQTiV ONE</t>
        </is>
      </c>
      <c r="D75" s="21" t="inlineStr">
        <is>
          <t>Superinox</t>
        </is>
      </c>
      <c r="E75" s="21" t="inlineStr">
        <is>
          <t>R040044S-022</t>
        </is>
      </c>
      <c r="F75" s="22" t="n"/>
      <c r="G75" s="22" t="n"/>
      <c r="H75" s="23" t="inlineStr">
        <is>
          <t>Prix à demander (AS*)</t>
        </is>
      </c>
    </row>
    <row r="76">
      <c r="A76" s="4" t="inlineStr">
        <is>
          <t>BW-0346</t>
        </is>
      </c>
      <c r="B76" s="21" t="inlineStr">
        <is>
          <t>Gearbox nozzle</t>
        </is>
      </c>
      <c r="C76" s="21" t="inlineStr">
        <is>
          <t>AQTiV COMBI; AQTiV ONE</t>
        </is>
      </c>
      <c r="D76" s="21" t="inlineStr">
        <is>
          <t>Superinox</t>
        </is>
      </c>
      <c r="E76" s="21" t="inlineStr">
        <is>
          <t>?</t>
        </is>
      </c>
      <c r="F76" s="22" t="n"/>
      <c r="G76" s="22" t="n"/>
      <c r="H76" s="23" t="inlineStr">
        <is>
          <t>Prix à demander (AS*)</t>
        </is>
      </c>
    </row>
    <row r="77">
      <c r="A77" s="4" t="inlineStr">
        <is>
          <t>BW-0347</t>
        </is>
      </c>
      <c r="B77" s="21" t="inlineStr">
        <is>
          <t>Gearbox aerator</t>
        </is>
      </c>
      <c r="C77" s="21" t="inlineStr">
        <is>
          <t>AQTiV COMBI; AQTiV ONE</t>
        </is>
      </c>
      <c r="D77" s="21" t="inlineStr">
        <is>
          <t>Superinox</t>
        </is>
      </c>
      <c r="E77" s="21" t="inlineStr">
        <is>
          <t>?</t>
        </is>
      </c>
      <c r="F77" s="22" t="n"/>
      <c r="G77" s="22" t="n"/>
      <c r="H77" s="23" t="inlineStr">
        <is>
          <t>Prix à demander (AS*)</t>
        </is>
      </c>
    </row>
    <row r="78">
      <c r="A78" s="4" t="inlineStr">
        <is>
          <t>BW-0348</t>
        </is>
      </c>
      <c r="B78" s="21" t="inlineStr">
        <is>
          <t>NBR O-ring</t>
        </is>
      </c>
      <c r="C78" s="21" t="inlineStr">
        <is>
          <t>AQTiV COMBI</t>
        </is>
      </c>
      <c r="D78" s="21" t="inlineStr">
        <is>
          <t>Neoperl</t>
        </is>
      </c>
      <c r="E78" s="21" t="inlineStr">
        <is>
          <t>55121110000</t>
        </is>
      </c>
      <c r="F78" s="22" t="n"/>
      <c r="G78" s="22" t="n"/>
      <c r="H78" s="23" t="inlineStr">
        <is>
          <t>Prix à demander (AS*)</t>
        </is>
      </c>
    </row>
    <row r="79">
      <c r="A79" s="4" t="inlineStr">
        <is>
          <t>BW-0349</t>
        </is>
      </c>
      <c r="B79" s="21" t="inlineStr">
        <is>
          <t>Honeycomb plastic aerator with O-ring</t>
        </is>
      </c>
      <c r="C79" s="21" t="inlineStr">
        <is>
          <t>AQTiV COMBI</t>
        </is>
      </c>
      <c r="D79" s="21" t="inlineStr">
        <is>
          <t>Superinox</t>
        </is>
      </c>
      <c r="E79" s="21" t="inlineStr">
        <is>
          <t>R014010S-000</t>
        </is>
      </c>
      <c r="F79" s="22" t="n"/>
      <c r="G79" s="22" t="n"/>
      <c r="H79" s="23" t="inlineStr">
        <is>
          <t>Prix à demander (AS*)</t>
        </is>
      </c>
    </row>
    <row r="80">
      <c r="A80" s="4" t="inlineStr">
        <is>
          <t>BW-0366</t>
        </is>
      </c>
      <c r="B80" s="21" t="inlineStr">
        <is>
          <t>PCB Control board 30E - B</t>
        </is>
      </c>
      <c r="C80" s="21" t="inlineStr">
        <is>
          <t>BOX 30E</t>
        </is>
      </c>
      <c r="D80" s="21" t="inlineStr">
        <is>
          <t>Borg&amp;Overström</t>
        </is>
      </c>
      <c r="E80" s="21" t="inlineStr">
        <is>
          <t>720260</t>
        </is>
      </c>
      <c r="F80" s="22" t="n">
        <v>169</v>
      </c>
      <c r="G80" s="22" t="n"/>
      <c r="H80" s="21" t="inlineStr"/>
    </row>
    <row r="81">
      <c r="A81" s="4" t="inlineStr">
        <is>
          <t>BW-0367</t>
        </is>
      </c>
      <c r="B81" s="21" t="inlineStr">
        <is>
          <t>BAR2 – Button switch</t>
        </is>
      </c>
      <c r="C81" s="21" t="inlineStr">
        <is>
          <t>BAR2 Double</t>
        </is>
      </c>
      <c r="D81" s="21" t="inlineStr">
        <is>
          <t>Blupura</t>
        </is>
      </c>
      <c r="E81" s="21" t="inlineStr">
        <is>
          <t>810439</t>
        </is>
      </c>
      <c r="F81" s="22" t="n"/>
      <c r="G81" s="22" t="n"/>
      <c r="H81" s="23" t="inlineStr">
        <is>
          <t>Prix à demander (AS*)</t>
        </is>
      </c>
    </row>
    <row r="82">
      <c r="A82" s="4" t="inlineStr">
        <is>
          <t>BW-0368</t>
        </is>
      </c>
      <c r="B82" s="21" t="inlineStr">
        <is>
          <t>BAR2 – Counter gasket</t>
        </is>
      </c>
      <c r="C82" s="21" t="inlineStr">
        <is>
          <t>BAR2 Double; BAR2 Touchless</t>
        </is>
      </c>
      <c r="D82" s="21" t="inlineStr">
        <is>
          <t>Blupura</t>
        </is>
      </c>
      <c r="E82" s="21" t="inlineStr">
        <is>
          <t>140564</t>
        </is>
      </c>
      <c r="F82" s="22" t="n"/>
      <c r="G82" s="22" t="n"/>
      <c r="H82" s="23" t="inlineStr">
        <is>
          <t>Prix à demander (AS*)</t>
        </is>
      </c>
    </row>
    <row r="83">
      <c r="A83" s="4" t="inlineStr">
        <is>
          <t>BW-0369</t>
        </is>
      </c>
      <c r="B83" s="21" t="inlineStr">
        <is>
          <t>BAR2 – Fixing plate</t>
        </is>
      </c>
      <c r="C83" s="21" t="inlineStr">
        <is>
          <t>BAR2 Double; BAR2 Touchless</t>
        </is>
      </c>
      <c r="D83" s="21" t="inlineStr">
        <is>
          <t>Blupura</t>
        </is>
      </c>
      <c r="E83" s="21" t="inlineStr">
        <is>
          <t>111012</t>
        </is>
      </c>
      <c r="F83" s="22" t="n"/>
      <c r="G83" s="22" t="n"/>
      <c r="H83" s="23" t="inlineStr">
        <is>
          <t>Prix à demander (AS*)</t>
        </is>
      </c>
    </row>
    <row r="84">
      <c r="A84" s="4" t="inlineStr">
        <is>
          <t>BW-0370</t>
        </is>
      </c>
      <c r="B84" s="21" t="inlineStr">
        <is>
          <t>BAR2 – Fixing nut 1 ½” G</t>
        </is>
      </c>
      <c r="C84" s="21" t="inlineStr">
        <is>
          <t>BAR2 Double; BAR2 Touchless</t>
        </is>
      </c>
      <c r="D84" s="21" t="inlineStr">
        <is>
          <t>Blupura</t>
        </is>
      </c>
      <c r="E84" s="21" t="inlineStr">
        <is>
          <t>130200</t>
        </is>
      </c>
      <c r="F84" s="22" t="n"/>
      <c r="G84" s="22" t="n"/>
      <c r="H84" s="23" t="inlineStr">
        <is>
          <t>Prix à demander (AS*)</t>
        </is>
      </c>
    </row>
    <row r="85">
      <c r="A85" s="4" t="inlineStr">
        <is>
          <t>BW-0371</t>
        </is>
      </c>
      <c r="B85" s="21" t="inlineStr">
        <is>
          <t>BAR2 – Power cable EU</t>
        </is>
      </c>
      <c r="C85" s="21" t="inlineStr">
        <is>
          <t>BAR2 Double</t>
        </is>
      </c>
      <c r="D85" s="21" t="inlineStr">
        <is>
          <t>Blupura</t>
        </is>
      </c>
      <c r="E85" s="21" t="inlineStr">
        <is>
          <t>150074</t>
        </is>
      </c>
      <c r="F85" s="22" t="n"/>
      <c r="G85" s="22" t="n"/>
      <c r="H85" s="23" t="inlineStr">
        <is>
          <t>Prix à demander (AS*)</t>
        </is>
      </c>
    </row>
    <row r="86">
      <c r="A86" s="4" t="inlineStr">
        <is>
          <t>BW-0372</t>
        </is>
      </c>
      <c r="B86" s="21" t="inlineStr">
        <is>
          <t>BAR2 - Driptray drain connection</t>
        </is>
      </c>
      <c r="C86" s="21" t="inlineStr">
        <is>
          <t>BAR2 Double; BAR2 Touchless</t>
        </is>
      </c>
      <c r="D86" s="21" t="inlineStr">
        <is>
          <t>Blupura</t>
        </is>
      </c>
      <c r="E86" s="21" t="inlineStr">
        <is>
          <t>140366</t>
        </is>
      </c>
      <c r="F86" s="22" t="n"/>
      <c r="G86" s="22" t="n"/>
      <c r="H86" s="23" t="inlineStr">
        <is>
          <t>Prix à demander (AS*)</t>
        </is>
      </c>
    </row>
    <row r="87">
      <c r="A87" s="4" t="inlineStr">
        <is>
          <t>BW-0373</t>
        </is>
      </c>
      <c r="B87" s="21" t="inlineStr">
        <is>
          <t>BAR2 – Front glass</t>
        </is>
      </c>
      <c r="C87" s="21" t="inlineStr">
        <is>
          <t>BAR2 Double; BAR2 Touchless</t>
        </is>
      </c>
      <c r="D87" s="21" t="inlineStr">
        <is>
          <t>Blupura</t>
        </is>
      </c>
      <c r="E87" s="21" t="inlineStr">
        <is>
          <t>140816</t>
        </is>
      </c>
      <c r="F87" s="22" t="n"/>
      <c r="G87" s="22" t="n"/>
      <c r="H87" s="23" t="inlineStr">
        <is>
          <t>Prix à demander (AS*)</t>
        </is>
      </c>
    </row>
    <row r="88">
      <c r="A88" s="4" t="inlineStr">
        <is>
          <t>BW-0374</t>
        </is>
      </c>
      <c r="B88" s="21" t="inlineStr">
        <is>
          <t>BAR2 – Bottle guides</t>
        </is>
      </c>
      <c r="C88" s="21" t="inlineStr">
        <is>
          <t>BAR2 Double; BAR2 Touchless</t>
        </is>
      </c>
      <c r="D88" s="21" t="inlineStr">
        <is>
          <t>Blupura</t>
        </is>
      </c>
      <c r="E88" s="21" t="inlineStr">
        <is>
          <t>110375</t>
        </is>
      </c>
      <c r="F88" s="22" t="n"/>
      <c r="G88" s="22" t="n"/>
      <c r="H88" s="23" t="inlineStr">
        <is>
          <t>Prix à demander (AS*)</t>
        </is>
      </c>
    </row>
    <row r="89">
      <c r="A89" s="4" t="inlineStr">
        <is>
          <t>BW-0375</t>
        </is>
      </c>
      <c r="B89" s="21" t="inlineStr">
        <is>
          <t>BAR2 – Spring breaker</t>
        </is>
      </c>
      <c r="C89" s="21" t="inlineStr">
        <is>
          <t>BAR2 Double; BAR2 Touchless</t>
        </is>
      </c>
      <c r="D89" s="21" t="inlineStr">
        <is>
          <t>Blupura</t>
        </is>
      </c>
      <c r="E89" s="21" t="inlineStr">
        <is>
          <t>110445</t>
        </is>
      </c>
      <c r="F89" s="22" t="n"/>
      <c r="G89" s="22" t="n"/>
      <c r="H89" s="23" t="inlineStr">
        <is>
          <t>Prix à demander (AS*)</t>
        </is>
      </c>
    </row>
    <row r="90">
      <c r="A90" s="4" t="inlineStr">
        <is>
          <t>BW-0376</t>
        </is>
      </c>
      <c r="B90" s="21" t="inlineStr">
        <is>
          <t>BAR2 – UVC out</t>
        </is>
      </c>
      <c r="C90" s="21" t="inlineStr">
        <is>
          <t>BAR2 Double</t>
        </is>
      </c>
      <c r="D90" s="21" t="inlineStr">
        <is>
          <t>Blupura</t>
        </is>
      </c>
      <c r="E90" s="21" t="inlineStr">
        <is>
          <t>810618</t>
        </is>
      </c>
      <c r="F90" s="22" t="n"/>
      <c r="G90" s="22" t="n"/>
      <c r="H90" s="23" t="inlineStr">
        <is>
          <t>Prix à demander (AS*)</t>
        </is>
      </c>
    </row>
    <row r="91">
      <c r="A91" s="4" t="inlineStr">
        <is>
          <t>BW-0377</t>
        </is>
      </c>
      <c r="B91" s="21" t="inlineStr">
        <is>
          <t>BAR2 – SPRK button 7mm</t>
        </is>
      </c>
      <c r="C91" s="21" t="inlineStr">
        <is>
          <t>BAR2 Double</t>
        </is>
      </c>
      <c r="D91" s="21" t="inlineStr">
        <is>
          <t>Blupura</t>
        </is>
      </c>
      <c r="E91" s="21" t="inlineStr">
        <is>
          <t>810697</t>
        </is>
      </c>
      <c r="F91" s="22" t="n"/>
      <c r="G91" s="22" t="n"/>
      <c r="H91" s="23" t="inlineStr">
        <is>
          <t>Prix à demander (AS*)</t>
        </is>
      </c>
    </row>
    <row r="92">
      <c r="A92" s="4" t="inlineStr">
        <is>
          <t>BW-0378</t>
        </is>
      </c>
      <c r="B92" s="21" t="inlineStr">
        <is>
          <t>BAR2 – STLL button 7mm</t>
        </is>
      </c>
      <c r="C92" s="21" t="inlineStr">
        <is>
          <t>BAR2 Double</t>
        </is>
      </c>
      <c r="D92" s="21" t="inlineStr">
        <is>
          <t>Blupura</t>
        </is>
      </c>
      <c r="E92" s="21" t="inlineStr">
        <is>
          <t>810698</t>
        </is>
      </c>
      <c r="F92" s="22" t="n"/>
      <c r="G92" s="22" t="n"/>
      <c r="H92" s="23" t="inlineStr">
        <is>
          <t>Prix à demander (AS*)</t>
        </is>
      </c>
    </row>
    <row r="93">
      <c r="A93" s="4" t="inlineStr">
        <is>
          <t>BW-0379</t>
        </is>
      </c>
      <c r="B93" s="21" t="inlineStr">
        <is>
          <t>BAR2 -  STLL button 10mm</t>
        </is>
      </c>
      <c r="C93" s="21" t="inlineStr">
        <is>
          <t>BAR2 Double</t>
        </is>
      </c>
      <c r="D93" s="21" t="inlineStr">
        <is>
          <t>Blupura</t>
        </is>
      </c>
      <c r="E93" s="21" t="inlineStr">
        <is>
          <t>810696</t>
        </is>
      </c>
      <c r="F93" s="22" t="n"/>
      <c r="G93" s="22" t="n"/>
      <c r="H93" s="23" t="inlineStr">
        <is>
          <t>Prix à demander (AS*)</t>
        </is>
      </c>
    </row>
    <row r="94">
      <c r="A94" s="4" t="inlineStr">
        <is>
          <t>BW-0380</t>
        </is>
      </c>
      <c r="B94" s="21" t="inlineStr">
        <is>
          <t>BAR2 – SPRK button 10mm</t>
        </is>
      </c>
      <c r="C94" s="21" t="inlineStr">
        <is>
          <t>BAR2 Double</t>
        </is>
      </c>
      <c r="D94" s="21" t="inlineStr">
        <is>
          <t>Blupura</t>
        </is>
      </c>
      <c r="E94" s="21" t="inlineStr">
        <is>
          <t>810695</t>
        </is>
      </c>
      <c r="F94" s="22" t="n"/>
      <c r="G94" s="22" t="n"/>
      <c r="H94" s="23" t="inlineStr">
        <is>
          <t>Prix à demander (AS*)</t>
        </is>
      </c>
    </row>
    <row r="95">
      <c r="A95" s="4" t="inlineStr">
        <is>
          <t>BW-0381</t>
        </is>
      </c>
      <c r="B95" s="21" t="inlineStr">
        <is>
          <t>BAR2 – Solenoid valve</t>
        </is>
      </c>
      <c r="C95" s="21" t="inlineStr">
        <is>
          <t>BAR2 Double; BAR2 Touchless</t>
        </is>
      </c>
      <c r="D95" s="21" t="inlineStr">
        <is>
          <t>Blupura</t>
        </is>
      </c>
      <c r="E95" s="21" t="inlineStr">
        <is>
          <t>150356</t>
        </is>
      </c>
      <c r="F95" s="22" t="n"/>
      <c r="G95" s="22" t="n"/>
      <c r="H95" s="23" t="inlineStr">
        <is>
          <t>Prix à demander (AS*)</t>
        </is>
      </c>
    </row>
    <row r="96">
      <c r="A96" s="4" t="inlineStr">
        <is>
          <t>BW-0382</t>
        </is>
      </c>
      <c r="B96" s="21" t="inlineStr">
        <is>
          <t>BAR2 – Cap ring nut</t>
        </is>
      </c>
      <c r="C96" s="21" t="inlineStr">
        <is>
          <t>BAR2 Double; BAR2 Touchless</t>
        </is>
      </c>
      <c r="D96" s="21" t="inlineStr">
        <is>
          <t>Blupura</t>
        </is>
      </c>
      <c r="E96" s="21" t="inlineStr">
        <is>
          <t>110274</t>
        </is>
      </c>
      <c r="F96" s="22" t="n"/>
      <c r="G96" s="22" t="n"/>
      <c r="H96" s="23" t="inlineStr">
        <is>
          <t>Prix à demander (AS*)</t>
        </is>
      </c>
    </row>
    <row r="97">
      <c r="A97" s="4" t="inlineStr">
        <is>
          <t>BW-0383</t>
        </is>
      </c>
      <c r="B97" s="21" t="inlineStr">
        <is>
          <t>BAR2 – LED holder</t>
        </is>
      </c>
      <c r="C97" s="21" t="inlineStr">
        <is>
          <t>BAR2 Double; BAR2 Touchless</t>
        </is>
      </c>
      <c r="D97" s="21" t="inlineStr">
        <is>
          <t>Blupura</t>
        </is>
      </c>
      <c r="E97" s="21" t="inlineStr">
        <is>
          <t>140251</t>
        </is>
      </c>
      <c r="F97" s="22" t="n"/>
      <c r="G97" s="22" t="n"/>
      <c r="H97" s="23" t="inlineStr">
        <is>
          <t>Prix à demander (AS*)</t>
        </is>
      </c>
    </row>
    <row r="98">
      <c r="A98" s="4" t="inlineStr">
        <is>
          <t>BW-0384</t>
        </is>
      </c>
      <c r="B98" s="21" t="inlineStr">
        <is>
          <t>BAR2 – Exit valves bracket</t>
        </is>
      </c>
      <c r="C98" s="21" t="inlineStr">
        <is>
          <t>BAR2 Double; BAR2 Touchless</t>
        </is>
      </c>
      <c r="D98" s="21" t="inlineStr">
        <is>
          <t>Blupura</t>
        </is>
      </c>
      <c r="E98" s="21" t="inlineStr">
        <is>
          <t>111011</t>
        </is>
      </c>
      <c r="F98" s="22" t="n"/>
      <c r="G98" s="22" t="n"/>
      <c r="H98" s="23" t="inlineStr">
        <is>
          <t>Prix à demander (AS*)</t>
        </is>
      </c>
    </row>
    <row r="99">
      <c r="A99" s="4" t="inlineStr">
        <is>
          <t>BW-0385</t>
        </is>
      </c>
      <c r="B99" s="21" t="inlineStr">
        <is>
          <t>Flow compensator 8mm</t>
        </is>
      </c>
      <c r="C99" s="21" t="inlineStr">
        <is>
          <t>BAR2 Double</t>
        </is>
      </c>
      <c r="D99" s="21" t="inlineStr">
        <is>
          <t>Blupura</t>
        </is>
      </c>
      <c r="E99" s="21" t="inlineStr">
        <is>
          <t>140194</t>
        </is>
      </c>
      <c r="F99" s="22" t="n"/>
      <c r="G99" s="22" t="n">
        <v>15.4</v>
      </c>
      <c r="H99" s="23" t="inlineStr">
        <is>
          <t>Prix à demander (AS*)</t>
        </is>
      </c>
    </row>
    <row r="100">
      <c r="A100" s="4" t="inlineStr">
        <is>
          <t>BW-0386</t>
        </is>
      </c>
      <c r="B100" s="21" t="inlineStr">
        <is>
          <t>BAR2 – Rear casing</t>
        </is>
      </c>
      <c r="C100" s="21" t="inlineStr">
        <is>
          <t>BAR2 Double; BAR2 Touchless</t>
        </is>
      </c>
      <c r="D100" s="21" t="inlineStr">
        <is>
          <t>Blupura</t>
        </is>
      </c>
      <c r="E100" s="21" t="inlineStr">
        <is>
          <t>110974</t>
        </is>
      </c>
      <c r="F100" s="22" t="n"/>
      <c r="G100" s="22" t="n"/>
      <c r="H100" s="23" t="inlineStr">
        <is>
          <t>Prix à demander (AS*)</t>
        </is>
      </c>
    </row>
    <row r="101">
      <c r="A101" s="4" t="inlineStr">
        <is>
          <t>BW-0387</t>
        </is>
      </c>
      <c r="B101" s="21" t="inlineStr">
        <is>
          <t>BAR2 -  LED feeder</t>
        </is>
      </c>
      <c r="C101" s="21" t="inlineStr">
        <is>
          <t>BAR2 Double; BAR2 Touchless</t>
        </is>
      </c>
      <c r="D101" s="21" t="inlineStr">
        <is>
          <t>Blupura</t>
        </is>
      </c>
      <c r="E101" s="21" t="inlineStr">
        <is>
          <t>810134</t>
        </is>
      </c>
      <c r="F101" s="22" t="n"/>
      <c r="G101" s="22" t="n"/>
      <c r="H101" s="23" t="inlineStr">
        <is>
          <t>Prix à demander (AS*)</t>
        </is>
      </c>
    </row>
    <row r="102">
      <c r="A102" s="4" t="inlineStr">
        <is>
          <t>BW-0388</t>
        </is>
      </c>
      <c r="B102" s="21" t="inlineStr">
        <is>
          <t>BAR2 – Die-cut evilene protection</t>
        </is>
      </c>
      <c r="C102" s="21" t="inlineStr">
        <is>
          <t>BAR2 Double</t>
        </is>
      </c>
      <c r="D102" s="21" t="inlineStr">
        <is>
          <t>Blupura</t>
        </is>
      </c>
      <c r="E102" s="21" t="inlineStr">
        <is>
          <t>160674</t>
        </is>
      </c>
      <c r="F102" s="22" t="n"/>
      <c r="G102" s="22" t="n"/>
      <c r="H102" s="23" t="inlineStr">
        <is>
          <t>Prix à demander (AS*)</t>
        </is>
      </c>
    </row>
    <row r="103">
      <c r="A103" s="4" t="inlineStr">
        <is>
          <t>BW-0389</t>
        </is>
      </c>
      <c r="B103" s="21" t="inlineStr">
        <is>
          <t>BAR2 – UV LED control board</t>
        </is>
      </c>
      <c r="C103" s="21" t="inlineStr">
        <is>
          <t>BAR2 Double</t>
        </is>
      </c>
      <c r="D103" s="21" t="inlineStr">
        <is>
          <t>Blupura</t>
        </is>
      </c>
      <c r="E103" s="21" t="inlineStr">
        <is>
          <t>150708</t>
        </is>
      </c>
      <c r="F103" s="22" t="n"/>
      <c r="G103" s="22" t="n"/>
      <c r="H103" s="23" t="inlineStr">
        <is>
          <t>Prix à demander (AS*)</t>
        </is>
      </c>
    </row>
    <row r="104">
      <c r="A104" s="4" t="inlineStr">
        <is>
          <t>BW-0390</t>
        </is>
      </c>
      <c r="B104" s="21" t="inlineStr">
        <is>
          <t>BAR2 – UV board support bracket</t>
        </is>
      </c>
      <c r="C104" s="21" t="inlineStr">
        <is>
          <t>BAR2 Double</t>
        </is>
      </c>
      <c r="D104" s="21" t="inlineStr">
        <is>
          <t>Blupura</t>
        </is>
      </c>
      <c r="E104" s="21" t="inlineStr">
        <is>
          <t>111420</t>
        </is>
      </c>
      <c r="F104" s="22" t="n"/>
      <c r="G104" s="22" t="n"/>
      <c r="H104" s="23" t="inlineStr">
        <is>
          <t>Prix à demander (AS*)</t>
        </is>
      </c>
    </row>
    <row r="105">
      <c r="A105" s="4" t="inlineStr">
        <is>
          <t>BW-0391</t>
        </is>
      </c>
      <c r="B105" s="21" t="inlineStr">
        <is>
          <t>Screwless cable tie</t>
        </is>
      </c>
      <c r="C105" s="21" t="inlineStr">
        <is>
          <t>BOX 150; BAR2 Double; BAR2 Touchless</t>
        </is>
      </c>
      <c r="D105" s="21" t="inlineStr">
        <is>
          <t>Blupura</t>
        </is>
      </c>
      <c r="E105" s="21" t="inlineStr">
        <is>
          <t>150011</t>
        </is>
      </c>
      <c r="F105" s="22" t="n"/>
      <c r="G105" s="22" t="n"/>
      <c r="H105" s="23" t="inlineStr">
        <is>
          <t>Prix à demander (AS*)</t>
        </is>
      </c>
    </row>
    <row r="106">
      <c r="A106" s="4" t="inlineStr">
        <is>
          <t>BW-0396</t>
        </is>
      </c>
      <c r="B106" s="21" t="inlineStr">
        <is>
          <t>BAR2 - Touchfree button</t>
        </is>
      </c>
      <c r="C106" s="21" t="inlineStr">
        <is>
          <t>BAR2 Touchless</t>
        </is>
      </c>
      <c r="D106" s="21" t="inlineStr">
        <is>
          <t>Blupura</t>
        </is>
      </c>
      <c r="E106" s="21" t="inlineStr">
        <is>
          <t>150146</t>
        </is>
      </c>
      <c r="F106" s="22" t="n"/>
      <c r="G106" s="22" t="n"/>
      <c r="H106" s="23" t="inlineStr">
        <is>
          <t>Prix à demander (AS*)</t>
        </is>
      </c>
    </row>
    <row r="107">
      <c r="A107" s="4" t="inlineStr">
        <is>
          <t>BW-0397</t>
        </is>
      </c>
      <c r="B107" s="21" t="inlineStr">
        <is>
          <t>BAR2 - STLL touchfree</t>
        </is>
      </c>
      <c r="C107" s="21" t="inlineStr">
        <is>
          <t>BAR2 Touchless</t>
        </is>
      </c>
      <c r="D107" s="21" t="inlineStr">
        <is>
          <t>Blupura</t>
        </is>
      </c>
      <c r="E107" s="21" t="inlineStr">
        <is>
          <t>810602</t>
        </is>
      </c>
      <c r="F107" s="22" t="n"/>
      <c r="G107" s="22" t="n"/>
      <c r="H107" s="23" t="inlineStr">
        <is>
          <t>Prix à demander (AS*)</t>
        </is>
      </c>
    </row>
    <row r="108">
      <c r="A108" s="4" t="inlineStr">
        <is>
          <t>BW-0398</t>
        </is>
      </c>
      <c r="B108" s="21" t="inlineStr">
        <is>
          <t>BAR2 - SPRK touchfree</t>
        </is>
      </c>
      <c r="C108" s="21" t="inlineStr">
        <is>
          <t>BAR2 Touchless</t>
        </is>
      </c>
      <c r="D108" s="21" t="inlineStr">
        <is>
          <t>Blupura</t>
        </is>
      </c>
      <c r="E108" s="21" t="inlineStr">
        <is>
          <t>810601</t>
        </is>
      </c>
      <c r="F108" s="22" t="n"/>
      <c r="G108" s="22" t="n"/>
      <c r="H108" s="23" t="inlineStr">
        <is>
          <t>Prix à demander (AS*)</t>
        </is>
      </c>
    </row>
    <row r="109">
      <c r="A109" s="4" t="inlineStr">
        <is>
          <t>BW-0399</t>
        </is>
      </c>
      <c r="B109" s="21" t="inlineStr">
        <is>
          <t>BAR2 - Front glass (touchless)</t>
        </is>
      </c>
      <c r="C109" s="21" t="inlineStr">
        <is>
          <t>BAR2 Touchless</t>
        </is>
      </c>
      <c r="D109" s="21" t="inlineStr">
        <is>
          <t>Blupura</t>
        </is>
      </c>
      <c r="E109" s="21" t="inlineStr">
        <is>
          <t>140846</t>
        </is>
      </c>
      <c r="F109" s="22" t="n"/>
      <c r="G109" s="22" t="n"/>
      <c r="H109" s="23" t="inlineStr">
        <is>
          <t>Prix à demander (AS*)</t>
        </is>
      </c>
    </row>
    <row r="110">
      <c r="A110" s="4" t="inlineStr">
        <is>
          <t>BW-0400</t>
        </is>
      </c>
      <c r="B110" s="21" t="inlineStr">
        <is>
          <t>BAR2 - Nut cover nozzle</t>
        </is>
      </c>
      <c r="C110" s="21" t="inlineStr">
        <is>
          <t>BAR2 Touchless</t>
        </is>
      </c>
      <c r="D110" s="21" t="inlineStr">
        <is>
          <t>Blupura</t>
        </is>
      </c>
      <c r="E110" s="21" t="inlineStr">
        <is>
          <t>110274</t>
        </is>
      </c>
      <c r="F110" s="22" t="n"/>
      <c r="G110" s="22" t="n"/>
      <c r="H110" s="23" t="inlineStr">
        <is>
          <t>Prix à demander (AS*)</t>
        </is>
      </c>
    </row>
    <row r="111">
      <c r="A111" s="4" t="inlineStr">
        <is>
          <t>BW-0401</t>
        </is>
      </c>
      <c r="B111" s="21" t="inlineStr">
        <is>
          <t>BAR2 - Rear carter (touchless)</t>
        </is>
      </c>
      <c r="C111" s="21" t="inlineStr">
        <is>
          <t>BAR2 Touchless</t>
        </is>
      </c>
      <c r="D111" s="21" t="inlineStr">
        <is>
          <t>Blupura</t>
        </is>
      </c>
      <c r="E111" s="21" t="inlineStr">
        <is>
          <t>111110</t>
        </is>
      </c>
      <c r="F111" s="22" t="n"/>
      <c r="G111" s="22" t="n"/>
      <c r="H111" s="23" t="inlineStr">
        <is>
          <t>Prix à demander (AS*)</t>
        </is>
      </c>
    </row>
    <row r="112">
      <c r="A112" s="4" t="inlineStr">
        <is>
          <t>BW-0402</t>
        </is>
      </c>
      <c r="B112" s="21" t="inlineStr">
        <is>
          <t>BAR2 - Solenoid bracket</t>
        </is>
      </c>
      <c r="C112" s="21" t="inlineStr">
        <is>
          <t>BAR2 Touchless</t>
        </is>
      </c>
      <c r="D112" s="21" t="inlineStr">
        <is>
          <t>Blupura</t>
        </is>
      </c>
      <c r="E112" s="21" t="inlineStr">
        <is>
          <t>111137</t>
        </is>
      </c>
      <c r="F112" s="22" t="n"/>
      <c r="G112" s="22" t="n"/>
      <c r="H112" s="23" t="inlineStr">
        <is>
          <t>Prix à demander (AS*)</t>
        </is>
      </c>
    </row>
    <row r="113">
      <c r="A113" s="4" t="inlineStr">
        <is>
          <t>BW-0403</t>
        </is>
      </c>
      <c r="B113" s="21" t="inlineStr">
        <is>
          <t>BAR2 - Inverter UV</t>
        </is>
      </c>
      <c r="C113" s="21" t="inlineStr">
        <is>
          <t>BAR2 Touchless</t>
        </is>
      </c>
      <c r="D113" s="21" t="inlineStr">
        <is>
          <t>Blupura</t>
        </is>
      </c>
      <c r="E113" s="21" t="inlineStr">
        <is>
          <t>150205</t>
        </is>
      </c>
      <c r="F113" s="22" t="n"/>
      <c r="G113" s="22" t="n"/>
      <c r="H113" s="23" t="inlineStr">
        <is>
          <t>Prix à demander (AS*)</t>
        </is>
      </c>
    </row>
    <row r="114">
      <c r="A114" s="4" t="inlineStr">
        <is>
          <t>BW-0404</t>
        </is>
      </c>
      <c r="B114" s="21" t="inlineStr">
        <is>
          <t>BAR2 - Touchfree button switch</t>
        </is>
      </c>
      <c r="C114" s="21" t="inlineStr">
        <is>
          <t>BAR2 Touchless</t>
        </is>
      </c>
      <c r="D114" s="21" t="inlineStr">
        <is>
          <t>Blupura</t>
        </is>
      </c>
      <c r="E114" s="21" t="inlineStr">
        <is>
          <t>150250</t>
        </is>
      </c>
      <c r="F114" s="22" t="n"/>
      <c r="G114" s="22" t="n"/>
      <c r="H114" s="23" t="inlineStr">
        <is>
          <t>Prix à demander (AS*)</t>
        </is>
      </c>
    </row>
    <row r="115">
      <c r="A115" s="4" t="inlineStr">
        <is>
          <t>BW-0405</t>
        </is>
      </c>
      <c r="B115" s="21" t="inlineStr">
        <is>
          <t>BAR2 - Touchfree sensor</t>
        </is>
      </c>
      <c r="C115" s="21" t="inlineStr">
        <is>
          <t>BAR2 Touchless</t>
        </is>
      </c>
      <c r="D115" s="21" t="inlineStr">
        <is>
          <t>Blupura</t>
        </is>
      </c>
      <c r="E115" s="21" t="inlineStr">
        <is>
          <t>150788</t>
        </is>
      </c>
      <c r="F115" s="22" t="n"/>
      <c r="G115" s="22" t="n"/>
      <c r="H115" s="23" t="inlineStr">
        <is>
          <t>Prix à demander (AS*)</t>
        </is>
      </c>
    </row>
    <row r="116">
      <c r="A116" s="4" t="inlineStr">
        <is>
          <t>BW-0406</t>
        </is>
      </c>
      <c r="B116" s="21" t="inlineStr">
        <is>
          <t>BAR2 - BTG protection</t>
        </is>
      </c>
      <c r="C116" s="21" t="inlineStr">
        <is>
          <t>BAR2 Touchless</t>
        </is>
      </c>
      <c r="D116" s="21" t="inlineStr">
        <is>
          <t>Blupura</t>
        </is>
      </c>
      <c r="E116" s="21" t="inlineStr">
        <is>
          <t>160674</t>
        </is>
      </c>
      <c r="F116" s="22" t="n"/>
      <c r="G116" s="22" t="n"/>
      <c r="H116" s="23" t="inlineStr">
        <is>
          <t>Prix à demander (AS*)</t>
        </is>
      </c>
    </row>
    <row r="117">
      <c r="A117" s="4" t="inlineStr">
        <is>
          <t>BW-0408</t>
        </is>
      </c>
      <c r="B117" s="21" t="inlineStr">
        <is>
          <t>BAR2 - Transformer</t>
        </is>
      </c>
      <c r="C117" s="21" t="inlineStr">
        <is>
          <t>BAR2 Touchless</t>
        </is>
      </c>
      <c r="D117" s="21" t="inlineStr">
        <is>
          <t>Blupura</t>
        </is>
      </c>
      <c r="E117" s="21" t="inlineStr">
        <is>
          <t>150071</t>
        </is>
      </c>
      <c r="F117" s="22" t="n"/>
      <c r="G117" s="22" t="n"/>
      <c r="H117" s="23" t="inlineStr">
        <is>
          <t>Prix à demander (AS*)</t>
        </is>
      </c>
    </row>
    <row r="118">
      <c r="A118" s="4" t="inlineStr">
        <is>
          <t>BW-0409</t>
        </is>
      </c>
      <c r="B118" s="21" t="inlineStr">
        <is>
          <t>BAR2 - Inverter 3UV</t>
        </is>
      </c>
      <c r="C118" s="21" t="inlineStr">
        <is>
          <t>BAR2 Touchless</t>
        </is>
      </c>
      <c r="D118" s="21" t="inlineStr">
        <is>
          <t>Blupura</t>
        </is>
      </c>
      <c r="E118" s="21" t="inlineStr">
        <is>
          <t>150204</t>
        </is>
      </c>
      <c r="F118" s="22" t="n"/>
      <c r="G118" s="22" t="n"/>
      <c r="H118" s="23" t="inlineStr">
        <is>
          <t>Prix à demander (AS*)</t>
        </is>
      </c>
    </row>
    <row r="119">
      <c r="A119" s="4" t="inlineStr">
        <is>
          <t>BW-0416</t>
        </is>
      </c>
      <c r="B119" s="21" t="inlineStr">
        <is>
          <t>Bracket for Immersion Pump</t>
        </is>
      </c>
      <c r="C119" s="21" t="inlineStr">
        <is>
          <t>BOX 80; BOX 150</t>
        </is>
      </c>
      <c r="D119" s="21" t="inlineStr">
        <is>
          <t>Blupura</t>
        </is>
      </c>
      <c r="E119" s="21" t="inlineStr">
        <is>
          <t>110264</t>
        </is>
      </c>
      <c r="F119" s="22" t="n"/>
      <c r="G119" s="22" t="n"/>
      <c r="H119" s="23" t="inlineStr">
        <is>
          <t>Prix à demander (AS*)</t>
        </is>
      </c>
    </row>
    <row r="120">
      <c r="A120" s="4" t="inlineStr">
        <is>
          <t>BW-0417</t>
        </is>
      </c>
      <c r="B120" s="21" t="inlineStr">
        <is>
          <t>Motor for pump 100L/h</t>
        </is>
      </c>
      <c r="C120" s="21" t="inlineStr">
        <is>
          <t>BOX 80</t>
        </is>
      </c>
      <c r="D120" s="21" t="inlineStr">
        <is>
          <t>Blupura</t>
        </is>
      </c>
      <c r="E120" s="21" t="inlineStr">
        <is>
          <t>130048A</t>
        </is>
      </c>
      <c r="F120" s="22" t="n"/>
      <c r="G120" s="22" t="n"/>
      <c r="H120" s="23" t="inlineStr">
        <is>
          <t>Prix à demander (AS*)</t>
        </is>
      </c>
    </row>
    <row r="121">
      <c r="A121" s="4" t="inlineStr">
        <is>
          <t>BW-0418</t>
        </is>
      </c>
      <c r="B121" s="21" t="inlineStr">
        <is>
          <t>Carbonator bracket</t>
        </is>
      </c>
      <c r="C121" s="21" t="inlineStr">
        <is>
          <t>BOX 80; BOX 150</t>
        </is>
      </c>
      <c r="D121" s="21" t="inlineStr">
        <is>
          <t>Blupura</t>
        </is>
      </c>
      <c r="E121" s="21" t="inlineStr">
        <is>
          <t>110103</t>
        </is>
      </c>
      <c r="F121" s="22" t="n"/>
      <c r="G121" s="22" t="n"/>
      <c r="H121" s="23" t="inlineStr">
        <is>
          <t>Prix à demander (AS*)</t>
        </is>
      </c>
    </row>
    <row r="122">
      <c r="A122" s="4" t="inlineStr">
        <is>
          <t>BW-0419</t>
        </is>
      </c>
      <c r="B122" s="21" t="inlineStr">
        <is>
          <t>Cover box 80</t>
        </is>
      </c>
      <c r="C122" s="21" t="inlineStr">
        <is>
          <t>BOX 80</t>
        </is>
      </c>
      <c r="D122" s="21" t="inlineStr">
        <is>
          <t>Blupura</t>
        </is>
      </c>
      <c r="E122" s="21" t="inlineStr">
        <is>
          <t>110138</t>
        </is>
      </c>
      <c r="F122" s="22" t="n"/>
      <c r="G122" s="22" t="n"/>
      <c r="H122" s="23" t="inlineStr">
        <is>
          <t>Prix à demander (AS*)</t>
        </is>
      </c>
    </row>
    <row r="123">
      <c r="A123" s="4" t="inlineStr">
        <is>
          <t>BW-0420</t>
        </is>
      </c>
      <c r="B123" s="21" t="inlineStr">
        <is>
          <t>Casing box 80</t>
        </is>
      </c>
      <c r="C123" s="21" t="inlineStr">
        <is>
          <t>BOX 80</t>
        </is>
      </c>
      <c r="D123" s="21" t="inlineStr">
        <is>
          <t>Blupura</t>
        </is>
      </c>
      <c r="E123" s="21" t="inlineStr">
        <is>
          <t>110137</t>
        </is>
      </c>
      <c r="F123" s="22" t="n"/>
      <c r="G123" s="22" t="n"/>
      <c r="H123" s="23" t="inlineStr">
        <is>
          <t>Prix à demander (AS*)</t>
        </is>
      </c>
    </row>
    <row r="124">
      <c r="A124" s="4" t="inlineStr">
        <is>
          <t>BW-0421</t>
        </is>
      </c>
      <c r="B124" s="21" t="inlineStr">
        <is>
          <t>Foot pvc</t>
        </is>
      </c>
      <c r="C124" s="21" t="inlineStr">
        <is>
          <t>BOX 80</t>
        </is>
      </c>
      <c r="D124" s="21" t="inlineStr">
        <is>
          <t>Blupura</t>
        </is>
      </c>
      <c r="E124" s="21" t="inlineStr">
        <is>
          <t>140118</t>
        </is>
      </c>
      <c r="F124" s="22" t="n"/>
      <c r="G124" s="22" t="n"/>
      <c r="H124" s="23" t="inlineStr">
        <is>
          <t>Prix à demander (AS*)</t>
        </is>
      </c>
    </row>
    <row r="125">
      <c r="A125" s="4" t="inlineStr">
        <is>
          <t>BW-0422</t>
        </is>
      </c>
      <c r="B125" s="21" t="inlineStr">
        <is>
          <t>Front panel</t>
        </is>
      </c>
      <c r="C125" s="21" t="inlineStr">
        <is>
          <t>BOX 80</t>
        </is>
      </c>
      <c r="D125" s="21" t="inlineStr">
        <is>
          <t>Blupura</t>
        </is>
      </c>
      <c r="E125" s="21" t="inlineStr">
        <is>
          <t>810646</t>
        </is>
      </c>
      <c r="F125" s="22" t="n"/>
      <c r="G125" s="22" t="n"/>
      <c r="H125" s="23" t="inlineStr">
        <is>
          <t>Prix à demander (AS*)</t>
        </is>
      </c>
    </row>
    <row r="126">
      <c r="A126" s="4" t="inlineStr">
        <is>
          <t>BW-0423</t>
        </is>
      </c>
      <c r="B126" s="21" t="inlineStr">
        <is>
          <t>Power cord</t>
        </is>
      </c>
      <c r="C126" s="21" t="inlineStr">
        <is>
          <t>BOX 80</t>
        </is>
      </c>
      <c r="D126" s="21" t="inlineStr">
        <is>
          <t>Blupura</t>
        </is>
      </c>
      <c r="E126" s="21" t="inlineStr">
        <is>
          <t>150087</t>
        </is>
      </c>
      <c r="F126" s="22" t="n"/>
      <c r="G126" s="22" t="n"/>
      <c r="H126" s="23" t="inlineStr">
        <is>
          <t>Prix à demander (AS*)</t>
        </is>
      </c>
    </row>
    <row r="127">
      <c r="A127" s="4" t="inlineStr">
        <is>
          <t>BW-0424</t>
        </is>
      </c>
      <c r="B127" s="21" t="inlineStr">
        <is>
          <t>Bulkhead 8 mm</t>
        </is>
      </c>
      <c r="C127" s="21" t="inlineStr">
        <is>
          <t>BOX 80</t>
        </is>
      </c>
      <c r="D127" s="21" t="inlineStr">
        <is>
          <t>Blupura</t>
        </is>
      </c>
      <c r="E127" s="21" t="inlineStr">
        <is>
          <t>140099</t>
        </is>
      </c>
      <c r="F127" s="22" t="n"/>
      <c r="G127" s="22" t="n"/>
      <c r="H127" s="23" t="inlineStr">
        <is>
          <t>Prix à demander (AS*)</t>
        </is>
      </c>
    </row>
    <row r="128">
      <c r="A128" s="4" t="inlineStr">
        <is>
          <t>BW-0425</t>
        </is>
      </c>
      <c r="B128" s="21" t="inlineStr">
        <is>
          <t>Iec socket</t>
        </is>
      </c>
      <c r="C128" s="21" t="inlineStr">
        <is>
          <t>BOX 80</t>
        </is>
      </c>
      <c r="D128" s="21" t="inlineStr">
        <is>
          <t>Blupura</t>
        </is>
      </c>
      <c r="E128" s="21" t="inlineStr">
        <is>
          <t>150094</t>
        </is>
      </c>
      <c r="F128" s="22" t="n"/>
      <c r="G128" s="22" t="n"/>
      <c r="H128" s="23" t="inlineStr">
        <is>
          <t>Prix à demander (AS*)</t>
        </is>
      </c>
    </row>
    <row r="129">
      <c r="A129" s="4" t="inlineStr">
        <is>
          <t>BW-0426</t>
        </is>
      </c>
      <c r="B129" s="21" t="inlineStr">
        <is>
          <t>General power switch</t>
        </is>
      </c>
      <c r="C129" s="21" t="inlineStr">
        <is>
          <t>BOX 80</t>
        </is>
      </c>
      <c r="D129" s="21" t="inlineStr">
        <is>
          <t>Blupura</t>
        </is>
      </c>
      <c r="E129" s="21" t="inlineStr">
        <is>
          <t>150072</t>
        </is>
      </c>
      <c r="F129" s="22" t="n"/>
      <c r="G129" s="22" t="n"/>
      <c r="H129" s="23" t="inlineStr">
        <is>
          <t>Prix à demander (AS*)</t>
        </is>
      </c>
    </row>
    <row r="130">
      <c r="A130" s="4" t="inlineStr">
        <is>
          <t>BW-0427</t>
        </is>
      </c>
      <c r="B130" s="21" t="inlineStr">
        <is>
          <t>Plastic plug</t>
        </is>
      </c>
      <c r="C130" s="21" t="inlineStr">
        <is>
          <t>BOX 80; BOX 150</t>
        </is>
      </c>
      <c r="D130" s="21" t="inlineStr">
        <is>
          <t>Blupura</t>
        </is>
      </c>
      <c r="E130" s="21" t="inlineStr">
        <is>
          <t>150051</t>
        </is>
      </c>
      <c r="F130" s="22" t="n"/>
      <c r="G130" s="22" t="n"/>
      <c r="H130" s="23" t="inlineStr">
        <is>
          <t>Prix à demander (AS*)</t>
        </is>
      </c>
    </row>
    <row r="131">
      <c r="A131" s="4" t="inlineStr">
        <is>
          <t>BW-0428</t>
        </is>
      </c>
      <c r="B131" s="21" t="inlineStr">
        <is>
          <t>Spring type cable grand</t>
        </is>
      </c>
      <c r="C131" s="21" t="inlineStr">
        <is>
          <t>BOX 80; BOX 150</t>
        </is>
      </c>
      <c r="D131" s="21" t="inlineStr">
        <is>
          <t>Blupura</t>
        </is>
      </c>
      <c r="E131" s="21" t="inlineStr">
        <is>
          <t>150052</t>
        </is>
      </c>
      <c r="F131" s="22" t="n"/>
      <c r="G131" s="22" t="n"/>
      <c r="H131" s="23" t="inlineStr">
        <is>
          <t>Prix à demander (AS*)</t>
        </is>
      </c>
    </row>
    <row r="132">
      <c r="A132" s="4" t="inlineStr">
        <is>
          <t>BW-0429</t>
        </is>
      </c>
      <c r="B132" s="21" t="inlineStr">
        <is>
          <t>Ice bank overflow kit</t>
        </is>
      </c>
      <c r="C132" s="21" t="inlineStr">
        <is>
          <t>BOX 80; BOX 150</t>
        </is>
      </c>
      <c r="D132" s="21" t="inlineStr">
        <is>
          <t>Blupura</t>
        </is>
      </c>
      <c r="E132" s="21" t="inlineStr">
        <is>
          <t>750019</t>
        </is>
      </c>
      <c r="F132" s="22" t="n"/>
      <c r="G132" s="22" t="n"/>
      <c r="H132" s="23" t="inlineStr">
        <is>
          <t>Prix à demander (AS*)</t>
        </is>
      </c>
    </row>
    <row r="133">
      <c r="A133" s="4" t="inlineStr">
        <is>
          <t>BW-0430</t>
        </is>
      </c>
      <c r="B133" s="21" t="inlineStr">
        <is>
          <t>BOX 15 - Base</t>
        </is>
      </c>
      <c r="C133" s="21" t="inlineStr">
        <is>
          <t>BOX 15</t>
        </is>
      </c>
      <c r="D133" s="21" t="inlineStr">
        <is>
          <t>Blupura</t>
        </is>
      </c>
      <c r="E133" s="21" t="inlineStr">
        <is>
          <t>140511</t>
        </is>
      </c>
      <c r="F133" s="22" t="n"/>
      <c r="G133" s="22" t="n"/>
      <c r="H133" s="23" t="inlineStr">
        <is>
          <t>Prix à demander (AS*)</t>
        </is>
      </c>
    </row>
    <row r="134">
      <c r="A134" s="4" t="inlineStr">
        <is>
          <t>BW-0431</t>
        </is>
      </c>
      <c r="B134" s="21" t="inlineStr">
        <is>
          <t>BOX 15 - Front paneL</t>
        </is>
      </c>
      <c r="C134" s="21" t="inlineStr">
        <is>
          <t>BOX 15</t>
        </is>
      </c>
      <c r="D134" s="21" t="inlineStr">
        <is>
          <t>Blupura</t>
        </is>
      </c>
      <c r="E134" s="21" t="inlineStr">
        <is>
          <t>810645</t>
        </is>
      </c>
      <c r="F134" s="22" t="n"/>
      <c r="G134" s="22" t="n"/>
      <c r="H134" s="23" t="inlineStr">
        <is>
          <t>Prix à demander (AS*)</t>
        </is>
      </c>
    </row>
    <row r="135">
      <c r="A135" s="4" t="inlineStr">
        <is>
          <t>BW-0432</t>
        </is>
      </c>
      <c r="B135" s="21" t="inlineStr">
        <is>
          <t>Bulkhead 1/4 mm</t>
        </is>
      </c>
      <c r="C135" s="21" t="inlineStr">
        <is>
          <t>BOX 15</t>
        </is>
      </c>
      <c r="D135" s="21" t="inlineStr">
        <is>
          <t>Blupura</t>
        </is>
      </c>
      <c r="E135" s="21" t="inlineStr">
        <is>
          <t>140296</t>
        </is>
      </c>
      <c r="F135" s="22" t="n"/>
      <c r="G135" s="22" t="n"/>
      <c r="H135" s="23" t="inlineStr">
        <is>
          <t>Prix à demander (AS*)</t>
        </is>
      </c>
    </row>
    <row r="136">
      <c r="A136" s="4" t="inlineStr">
        <is>
          <t>BW-0433</t>
        </is>
      </c>
      <c r="B136" s="21" t="inlineStr">
        <is>
          <t>BOX 15 - Bore cap</t>
        </is>
      </c>
      <c r="C136" s="21" t="inlineStr">
        <is>
          <t>BOX 15</t>
        </is>
      </c>
      <c r="D136" s="21" t="inlineStr">
        <is>
          <t>Blupura</t>
        </is>
      </c>
      <c r="E136" s="21" t="inlineStr">
        <is>
          <t>140845</t>
        </is>
      </c>
      <c r="F136" s="22" t="n"/>
      <c r="G136" s="22" t="n"/>
      <c r="H136" s="23" t="inlineStr">
        <is>
          <t>Prix à demander (AS*)</t>
        </is>
      </c>
    </row>
    <row r="137">
      <c r="A137" s="4" t="inlineStr">
        <is>
          <t>BW-0434</t>
        </is>
      </c>
      <c r="B137" s="21" t="inlineStr">
        <is>
          <t>BOX 15 - Main support</t>
        </is>
      </c>
      <c r="C137" s="21" t="inlineStr">
        <is>
          <t>BOX 15</t>
        </is>
      </c>
      <c r="D137" s="21" t="inlineStr">
        <is>
          <t>Blupura</t>
        </is>
      </c>
      <c r="E137" s="21" t="inlineStr">
        <is>
          <t>140512</t>
        </is>
      </c>
      <c r="F137" s="22" t="n"/>
      <c r="G137" s="22" t="n"/>
      <c r="H137" s="23" t="inlineStr">
        <is>
          <t>Prix à demander (AS*)</t>
        </is>
      </c>
    </row>
    <row r="138">
      <c r="A138" s="4" t="inlineStr">
        <is>
          <t>BW-0435</t>
        </is>
      </c>
      <c r="B138" s="21" t="inlineStr">
        <is>
          <t>BOX 15 - Left panel</t>
        </is>
      </c>
      <c r="C138" s="21" t="inlineStr">
        <is>
          <t>BOX 15</t>
        </is>
      </c>
      <c r="D138" s="21" t="inlineStr">
        <is>
          <t>Blupura</t>
        </is>
      </c>
      <c r="E138" s="21" t="inlineStr">
        <is>
          <t>140561</t>
        </is>
      </c>
      <c r="F138" s="22" t="n"/>
      <c r="G138" s="22" t="n"/>
      <c r="H138" s="23" t="inlineStr">
        <is>
          <t>Prix à demander (AS*)</t>
        </is>
      </c>
    </row>
    <row r="139">
      <c r="A139" s="4" t="inlineStr">
        <is>
          <t>BW-0436</t>
        </is>
      </c>
      <c r="B139" s="21" t="inlineStr">
        <is>
          <t>BOX 15 - Top cover</t>
        </is>
      </c>
      <c r="C139" s="21" t="inlineStr">
        <is>
          <t>BOX 15</t>
        </is>
      </c>
      <c r="D139" s="21" t="inlineStr">
        <is>
          <t>Blupura</t>
        </is>
      </c>
      <c r="E139" s="21" t="inlineStr">
        <is>
          <t>110954</t>
        </is>
      </c>
      <c r="F139" s="22" t="n"/>
      <c r="G139" s="22" t="n"/>
      <c r="H139" s="23" t="inlineStr">
        <is>
          <t>Prix à demander (AS*)</t>
        </is>
      </c>
    </row>
    <row r="140">
      <c r="A140" s="4" t="inlineStr">
        <is>
          <t>BW-0437</t>
        </is>
      </c>
      <c r="B140" s="21" t="inlineStr">
        <is>
          <t>BOX 15 - Tank support</t>
        </is>
      </c>
      <c r="C140" s="21" t="inlineStr">
        <is>
          <t>BOX 15</t>
        </is>
      </c>
      <c r="D140" s="21" t="inlineStr">
        <is>
          <t>Blupura</t>
        </is>
      </c>
      <c r="E140" s="21" t="inlineStr">
        <is>
          <t>140528</t>
        </is>
      </c>
      <c r="F140" s="22" t="n"/>
      <c r="G140" s="22" t="n"/>
      <c r="H140" s="23" t="inlineStr">
        <is>
          <t>Prix à demander (AS*)</t>
        </is>
      </c>
    </row>
    <row r="141">
      <c r="A141" s="4" t="inlineStr">
        <is>
          <t>BW-0438</t>
        </is>
      </c>
      <c r="B141" s="21" t="inlineStr">
        <is>
          <t>BOX 15 - Back panel</t>
        </is>
      </c>
      <c r="C141" s="21" t="inlineStr">
        <is>
          <t>BOX 15</t>
        </is>
      </c>
      <c r="D141" s="21" t="inlineStr">
        <is>
          <t>Blupura</t>
        </is>
      </c>
      <c r="E141" s="21" t="inlineStr">
        <is>
          <t>140521</t>
        </is>
      </c>
      <c r="F141" s="22" t="n"/>
      <c r="G141" s="22" t="n"/>
      <c r="H141" s="23" t="inlineStr">
        <is>
          <t>Prix à demander (AS*)</t>
        </is>
      </c>
    </row>
    <row r="142">
      <c r="A142" s="4" t="inlineStr">
        <is>
          <t>BW-0439</t>
        </is>
      </c>
      <c r="B142" s="21" t="inlineStr">
        <is>
          <t>Power switch</t>
        </is>
      </c>
      <c r="C142" s="21" t="inlineStr">
        <is>
          <t>BOX 150; BOX 15</t>
        </is>
      </c>
      <c r="D142" s="21" t="inlineStr">
        <is>
          <t>Blupura</t>
        </is>
      </c>
      <c r="E142" s="21" t="inlineStr">
        <is>
          <t>150157</t>
        </is>
      </c>
      <c r="F142" s="22" t="n"/>
      <c r="G142" s="22" t="n"/>
      <c r="H142" s="23" t="inlineStr">
        <is>
          <t>Prix à demander (AS*)</t>
        </is>
      </c>
    </row>
    <row r="143">
      <c r="A143" s="4" t="inlineStr">
        <is>
          <t>BW-0440</t>
        </is>
      </c>
      <c r="B143" s="21" t="inlineStr">
        <is>
          <t>BOX 15 - Right panel</t>
        </is>
      </c>
      <c r="C143" s="21" t="inlineStr">
        <is>
          <t>BOX 15</t>
        </is>
      </c>
      <c r="D143" s="21" t="inlineStr">
        <is>
          <t>Blupura</t>
        </is>
      </c>
      <c r="E143" s="21" t="inlineStr">
        <is>
          <t>140562</t>
        </is>
      </c>
      <c r="F143" s="22" t="n"/>
      <c r="G143" s="22" t="n"/>
      <c r="H143" s="23" t="inlineStr">
        <is>
          <t>Prix à demander (AS*)</t>
        </is>
      </c>
    </row>
    <row r="144">
      <c r="A144" s="4" t="inlineStr">
        <is>
          <t>BW-0441</t>
        </is>
      </c>
      <c r="B144" s="21" t="inlineStr">
        <is>
          <t>BOX 150 - Thermostat bracket</t>
        </is>
      </c>
      <c r="C144" s="21" t="inlineStr">
        <is>
          <t>BOX 150</t>
        </is>
      </c>
      <c r="D144" s="21" t="inlineStr">
        <is>
          <t>Blupura</t>
        </is>
      </c>
      <c r="E144" s="21" t="inlineStr">
        <is>
          <t>110048</t>
        </is>
      </c>
      <c r="F144" s="22" t="n"/>
      <c r="G144" s="22" t="n"/>
      <c r="H144" s="23" t="inlineStr">
        <is>
          <t>Prix à demander (AS*)</t>
        </is>
      </c>
    </row>
    <row r="145">
      <c r="A145" s="4" t="inlineStr">
        <is>
          <t>BW-0442</t>
        </is>
      </c>
      <c r="B145" s="21" t="inlineStr">
        <is>
          <t>BOX 150 - Small cover</t>
        </is>
      </c>
      <c r="C145" s="21" t="inlineStr">
        <is>
          <t>BOX 150</t>
        </is>
      </c>
      <c r="D145" s="21" t="inlineStr">
        <is>
          <t>Blupura</t>
        </is>
      </c>
      <c r="E145" s="21" t="inlineStr">
        <is>
          <t>110053</t>
        </is>
      </c>
      <c r="F145" s="22" t="n"/>
      <c r="G145" s="22" t="n"/>
      <c r="H145" s="23" t="inlineStr">
        <is>
          <t>Prix à demander (AS*)</t>
        </is>
      </c>
    </row>
    <row r="146">
      <c r="A146" s="4" t="inlineStr">
        <is>
          <t>BW-0443</t>
        </is>
      </c>
      <c r="B146" s="21" t="inlineStr">
        <is>
          <t>BOX 150 - Inlet water pressure reducer</t>
        </is>
      </c>
      <c r="C146" s="21" t="inlineStr">
        <is>
          <t>BOX 150</t>
        </is>
      </c>
      <c r="D146" s="21" t="inlineStr">
        <is>
          <t>Blupura</t>
        </is>
      </c>
      <c r="E146" s="21" t="inlineStr">
        <is>
          <t>800042</t>
        </is>
      </c>
      <c r="F146" s="22" t="n"/>
      <c r="G146" s="22" t="n"/>
      <c r="H146" s="23" t="inlineStr">
        <is>
          <t>Prix à demander (AS*)</t>
        </is>
      </c>
    </row>
    <row r="147">
      <c r="A147" s="4" t="inlineStr">
        <is>
          <t>BW-0444</t>
        </is>
      </c>
      <c r="B147" s="21" t="inlineStr">
        <is>
          <t>BOX 150 - Interm plate</t>
        </is>
      </c>
      <c r="C147" s="21" t="inlineStr">
        <is>
          <t>BOX 150</t>
        </is>
      </c>
      <c r="D147" s="21" t="inlineStr">
        <is>
          <t>Blupura</t>
        </is>
      </c>
      <c r="E147" s="21" t="inlineStr">
        <is>
          <t>110040</t>
        </is>
      </c>
      <c r="F147" s="22" t="n"/>
      <c r="G147" s="22" t="n"/>
      <c r="H147" s="23" t="inlineStr">
        <is>
          <t>Prix à demander (AS*)</t>
        </is>
      </c>
    </row>
    <row r="148">
      <c r="A148" s="4" t="inlineStr">
        <is>
          <t>BW-0445</t>
        </is>
      </c>
      <c r="B148" s="21" t="inlineStr">
        <is>
          <t>BOX 150 - Large cover</t>
        </is>
      </c>
      <c r="C148" s="21" t="inlineStr">
        <is>
          <t>BOX 150</t>
        </is>
      </c>
      <c r="D148" s="21" t="inlineStr">
        <is>
          <t>Blupura</t>
        </is>
      </c>
      <c r="E148" s="21" t="inlineStr">
        <is>
          <t>110052</t>
        </is>
      </c>
      <c r="F148" s="22" t="n"/>
      <c r="G148" s="22" t="n"/>
      <c r="H148" s="23" t="inlineStr">
        <is>
          <t>Prix à demander (AS*)</t>
        </is>
      </c>
    </row>
    <row r="149">
      <c r="A149" s="4" t="inlineStr">
        <is>
          <t>BW-0446</t>
        </is>
      </c>
      <c r="B149" s="21" t="inlineStr">
        <is>
          <t>BOX 150 - Condenser</t>
        </is>
      </c>
      <c r="C149" s="21" t="inlineStr">
        <is>
          <t>BOX 150</t>
        </is>
      </c>
      <c r="D149" s="21" t="inlineStr">
        <is>
          <t>Blupura</t>
        </is>
      </c>
      <c r="E149" s="21" t="inlineStr">
        <is>
          <t>120014</t>
        </is>
      </c>
      <c r="F149" s="22" t="n"/>
      <c r="G149" s="22" t="n"/>
      <c r="H149" s="23" t="inlineStr">
        <is>
          <t>Prix à demander (AS*)</t>
        </is>
      </c>
    </row>
    <row r="150">
      <c r="A150" s="4" t="inlineStr">
        <is>
          <t>BW-0447</t>
        </is>
      </c>
      <c r="B150" s="21" t="inlineStr">
        <is>
          <t>BOX 150 - Rear panel</t>
        </is>
      </c>
      <c r="C150" s="21" t="inlineStr">
        <is>
          <t>BOX 150</t>
        </is>
      </c>
      <c r="D150" s="21" t="inlineStr">
        <is>
          <t>Blupura</t>
        </is>
      </c>
      <c r="E150" s="21" t="inlineStr">
        <is>
          <t>110051</t>
        </is>
      </c>
      <c r="F150" s="22" t="n"/>
      <c r="G150" s="22" t="n"/>
      <c r="H150" s="23" t="inlineStr">
        <is>
          <t>Prix à demander (AS*)</t>
        </is>
      </c>
    </row>
    <row r="151">
      <c r="A151" s="4" t="inlineStr">
        <is>
          <t>BW-0448</t>
        </is>
      </c>
      <c r="B151" s="21" t="inlineStr">
        <is>
          <t>BOX 150 - Condenser support</t>
        </is>
      </c>
      <c r="C151" s="21" t="inlineStr">
        <is>
          <t>BOX 150</t>
        </is>
      </c>
      <c r="D151" s="21" t="inlineStr">
        <is>
          <t>Blupura</t>
        </is>
      </c>
      <c r="E151" s="21" t="inlineStr">
        <is>
          <t>110044</t>
        </is>
      </c>
      <c r="F151" s="22" t="n"/>
      <c r="G151" s="22" t="n"/>
      <c r="H151" s="23" t="inlineStr">
        <is>
          <t>Prix à demander (AS*)</t>
        </is>
      </c>
    </row>
    <row r="152">
      <c r="A152" s="4" t="inlineStr">
        <is>
          <t>BW-0449</t>
        </is>
      </c>
      <c r="B152" s="21" t="inlineStr">
        <is>
          <t>BOX 150 - Compressor</t>
        </is>
      </c>
      <c r="C152" s="21" t="inlineStr">
        <is>
          <t>BOX 150</t>
        </is>
      </c>
      <c r="D152" s="21" t="inlineStr">
        <is>
          <t>Blupura</t>
        </is>
      </c>
      <c r="E152" s="21" t="inlineStr">
        <is>
          <t>120001</t>
        </is>
      </c>
      <c r="F152" s="22" t="n"/>
      <c r="G152" s="22" t="n"/>
      <c r="H152" s="23" t="inlineStr">
        <is>
          <t>Prix à demander (AS*)</t>
        </is>
      </c>
    </row>
    <row r="153">
      <c r="A153" s="4" t="inlineStr">
        <is>
          <t>BW-0450</t>
        </is>
      </c>
      <c r="B153" s="21" t="inlineStr">
        <is>
          <t>BOX 150 - Bracket</t>
        </is>
      </c>
      <c r="C153" s="21" t="inlineStr">
        <is>
          <t>BOX 150</t>
        </is>
      </c>
      <c r="D153" s="21" t="inlineStr">
        <is>
          <t>Blupura</t>
        </is>
      </c>
      <c r="E153" s="21" t="inlineStr">
        <is>
          <t>110020</t>
        </is>
      </c>
      <c r="F153" s="22" t="n"/>
      <c r="G153" s="22" t="n"/>
      <c r="H153" s="23" t="inlineStr">
        <is>
          <t>Prix à demander (AS*)</t>
        </is>
      </c>
    </row>
    <row r="154">
      <c r="A154" s="4" t="inlineStr">
        <is>
          <t>BW-0451</t>
        </is>
      </c>
      <c r="B154" s="21" t="inlineStr">
        <is>
          <t>Brass pump 200L/h</t>
        </is>
      </c>
      <c r="C154" s="21" t="inlineStr">
        <is>
          <t>BOX 150</t>
        </is>
      </c>
      <c r="D154" s="21" t="inlineStr">
        <is>
          <t>Blupura</t>
        </is>
      </c>
      <c r="E154" s="21" t="inlineStr">
        <is>
          <t>130006</t>
        </is>
      </c>
      <c r="F154" s="22" t="n">
        <v>135</v>
      </c>
      <c r="G154" s="22" t="n"/>
      <c r="H154" s="21" t="inlineStr"/>
    </row>
    <row r="155">
      <c r="A155" s="4" t="inlineStr">
        <is>
          <t>BW-0452</t>
        </is>
      </c>
      <c r="B155" s="21" t="inlineStr">
        <is>
          <t>BOX 150 - Bracket for valve</t>
        </is>
      </c>
      <c r="C155" s="21" t="inlineStr">
        <is>
          <t>BOX 150</t>
        </is>
      </c>
      <c r="D155" s="21" t="inlineStr">
        <is>
          <t>Blupura</t>
        </is>
      </c>
      <c r="E155" s="21" t="inlineStr">
        <is>
          <t>110015A</t>
        </is>
      </c>
      <c r="F155" s="22" t="n"/>
      <c r="G155" s="22" t="n"/>
      <c r="H155" s="23" t="inlineStr">
        <is>
          <t>Prix à demander (AS*)</t>
        </is>
      </c>
    </row>
    <row r="156">
      <c r="A156" s="4" t="inlineStr">
        <is>
          <t>BW-0453</t>
        </is>
      </c>
      <c r="B156" s="21" t="inlineStr">
        <is>
          <t>BOX 150 - Carbonator bowl bracket</t>
        </is>
      </c>
      <c r="C156" s="21" t="inlineStr">
        <is>
          <t>BOX 150</t>
        </is>
      </c>
      <c r="D156" s="21" t="inlineStr">
        <is>
          <t>Blupura</t>
        </is>
      </c>
      <c r="E156" s="21" t="inlineStr">
        <is>
          <t>110013</t>
        </is>
      </c>
      <c r="F156" s="22" t="n"/>
      <c r="G156" s="22" t="n"/>
      <c r="H156" s="23" t="inlineStr">
        <is>
          <t>Prix à demander (AS*)</t>
        </is>
      </c>
    </row>
    <row r="157">
      <c r="A157" s="4" t="inlineStr">
        <is>
          <t>BW-0454</t>
        </is>
      </c>
      <c r="B157" s="21" t="inlineStr">
        <is>
          <t>BOX 150 - SS dual coil</t>
        </is>
      </c>
      <c r="C157" s="21" t="inlineStr">
        <is>
          <t>BOX 150</t>
        </is>
      </c>
      <c r="D157" s="21" t="inlineStr">
        <is>
          <t>Blupura</t>
        </is>
      </c>
      <c r="E157" s="21" t="inlineStr">
        <is>
          <t>120032</t>
        </is>
      </c>
      <c r="F157" s="22" t="n"/>
      <c r="G157" s="22" t="n"/>
      <c r="H157" s="23" t="inlineStr">
        <is>
          <t>Prix à demander (AS*)</t>
        </is>
      </c>
    </row>
    <row r="158">
      <c r="A158" s="4" t="inlineStr">
        <is>
          <t>BW-0455</t>
        </is>
      </c>
      <c r="B158" s="21" t="inlineStr">
        <is>
          <t>BOX 150 - Evaporator</t>
        </is>
      </c>
      <c r="C158" s="21" t="inlineStr">
        <is>
          <t>BOX 150</t>
        </is>
      </c>
      <c r="D158" s="21" t="inlineStr">
        <is>
          <t>Blupura</t>
        </is>
      </c>
      <c r="E158" s="21" t="inlineStr">
        <is>
          <t>120033</t>
        </is>
      </c>
      <c r="F158" s="22" t="n"/>
      <c r="G158" s="22" t="n"/>
      <c r="H158" s="23" t="inlineStr">
        <is>
          <t>Prix à demander (AS*)</t>
        </is>
      </c>
    </row>
    <row r="159">
      <c r="A159" s="4" t="inlineStr">
        <is>
          <t>BW-0456</t>
        </is>
      </c>
      <c r="B159" s="21" t="inlineStr">
        <is>
          <t>BOX 150 - Tank cooler</t>
        </is>
      </c>
      <c r="C159" s="21" t="inlineStr">
        <is>
          <t>BOX 150</t>
        </is>
      </c>
      <c r="D159" s="21" t="inlineStr">
        <is>
          <t>Blupura</t>
        </is>
      </c>
      <c r="E159" s="21" t="inlineStr">
        <is>
          <t>140004</t>
        </is>
      </c>
      <c r="F159" s="22" t="n"/>
      <c r="G159" s="22" t="n"/>
      <c r="H159" s="23" t="inlineStr">
        <is>
          <t>Prix à demander (AS*)</t>
        </is>
      </c>
    </row>
    <row r="160">
      <c r="A160" s="4" t="inlineStr">
        <is>
          <t>BW-0457</t>
        </is>
      </c>
      <c r="B160" s="21" t="inlineStr">
        <is>
          <t>EC150 Power cable</t>
        </is>
      </c>
      <c r="C160" s="21" t="inlineStr">
        <is>
          <t>BOX 150</t>
        </is>
      </c>
      <c r="D160" s="21" t="inlineStr">
        <is>
          <t>Blupura</t>
        </is>
      </c>
      <c r="E160" s="21" t="inlineStr">
        <is>
          <t>150082</t>
        </is>
      </c>
      <c r="F160" s="22" t="n"/>
      <c r="G160" s="22" t="n"/>
      <c r="H160" s="23" t="inlineStr">
        <is>
          <t>Prix à demander (AS*)</t>
        </is>
      </c>
    </row>
    <row r="161">
      <c r="A161" s="4" t="inlineStr">
        <is>
          <t>BW-0458</t>
        </is>
      </c>
      <c r="B161" s="21" t="inlineStr">
        <is>
          <t>BOX 150 - Base</t>
        </is>
      </c>
      <c r="C161" s="21" t="inlineStr">
        <is>
          <t>BOX 150</t>
        </is>
      </c>
      <c r="D161" s="21" t="inlineStr">
        <is>
          <t>Blupura</t>
        </is>
      </c>
      <c r="E161" s="21" t="inlineStr">
        <is>
          <t>110037</t>
        </is>
      </c>
      <c r="F161" s="22" t="n"/>
      <c r="G161" s="22" t="n"/>
      <c r="H161" s="23" t="inlineStr">
        <is>
          <t>Prix à demander (AS*)</t>
        </is>
      </c>
    </row>
    <row r="162">
      <c r="A162" s="4" t="inlineStr">
        <is>
          <t>BW-0459</t>
        </is>
      </c>
      <c r="B162" s="21" t="inlineStr">
        <is>
          <t>BOX 150 - Inox shell</t>
        </is>
      </c>
      <c r="C162" s="21" t="inlineStr">
        <is>
          <t>BOX 150</t>
        </is>
      </c>
      <c r="D162" s="21" t="inlineStr">
        <is>
          <t>Blupura</t>
        </is>
      </c>
      <c r="E162" s="21" t="inlineStr">
        <is>
          <t>110049</t>
        </is>
      </c>
      <c r="F162" s="22" t="n"/>
      <c r="G162" s="22" t="n"/>
      <c r="H162" s="23" t="inlineStr">
        <is>
          <t>Prix à demander (AS*)</t>
        </is>
      </c>
    </row>
    <row r="163">
      <c r="A163" s="4" t="inlineStr">
        <is>
          <t>BW-0461</t>
        </is>
      </c>
      <c r="B163" s="21" t="inlineStr">
        <is>
          <t>Straight adaptor, 3/8 x 1/4 BSP</t>
        </is>
      </c>
      <c r="C163" s="21" t="inlineStr">
        <is>
          <t>BOX 30 (2021)</t>
        </is>
      </c>
      <c r="D163" s="21" t="inlineStr">
        <is>
          <t>Borg&amp;Overström</t>
        </is>
      </c>
      <c r="E163" s="21" t="inlineStr">
        <is>
          <t>462313</t>
        </is>
      </c>
      <c r="F163" s="22" t="n"/>
      <c r="G163" s="22" t="n"/>
      <c r="H163" s="23" t="inlineStr">
        <is>
          <t>Prix à demander (AS*)</t>
        </is>
      </c>
    </row>
    <row r="164">
      <c r="A164" s="4" t="inlineStr">
        <is>
          <t>BW-0462</t>
        </is>
      </c>
      <c r="B164" s="21" t="inlineStr">
        <is>
          <t>Reducer, 3/8 -5/16</t>
        </is>
      </c>
      <c r="C164" s="21" t="inlineStr">
        <is>
          <t>BOX 30 (2021)</t>
        </is>
      </c>
      <c r="D164" s="21" t="inlineStr">
        <is>
          <t>Borg&amp;Overström</t>
        </is>
      </c>
      <c r="E164" s="21" t="inlineStr">
        <is>
          <t>462374</t>
        </is>
      </c>
      <c r="F164" s="22" t="n"/>
      <c r="G164" s="22" t="n"/>
      <c r="H164" s="23" t="inlineStr">
        <is>
          <t>Prix à demander (AS*)</t>
        </is>
      </c>
    </row>
    <row r="165">
      <c r="A165" s="4" t="inlineStr">
        <is>
          <t>BW-0463</t>
        </is>
      </c>
      <c r="B165" s="21" t="inlineStr">
        <is>
          <t>5/16 LLDPE tube</t>
        </is>
      </c>
      <c r="C165" s="21" t="inlineStr">
        <is>
          <t>BOX 30 (2021)</t>
        </is>
      </c>
      <c r="D165" s="21" t="inlineStr">
        <is>
          <t>Borg&amp;Overström</t>
        </is>
      </c>
      <c r="E165" s="21" t="inlineStr">
        <is>
          <t>462014</t>
        </is>
      </c>
      <c r="F165" s="22" t="n"/>
      <c r="G165" s="22" t="n"/>
      <c r="H165" s="23" t="inlineStr">
        <is>
          <t>Prix à demander (AS*)</t>
        </is>
      </c>
    </row>
    <row r="166">
      <c r="A166" s="4" t="inlineStr">
        <is>
          <t>BW-0464</t>
        </is>
      </c>
      <c r="B166" s="21" t="inlineStr">
        <is>
          <t>1/4  LLDPE tube</t>
        </is>
      </c>
      <c r="C166" s="21" t="inlineStr">
        <is>
          <t>BOX 30 (2021)</t>
        </is>
      </c>
      <c r="D166" s="21" t="inlineStr">
        <is>
          <t>Borg&amp;Overström</t>
        </is>
      </c>
      <c r="E166" s="21" t="inlineStr">
        <is>
          <t>462013</t>
        </is>
      </c>
      <c r="F166" s="22" t="n"/>
      <c r="G166" s="22" t="n"/>
      <c r="H166" s="23" t="inlineStr">
        <is>
          <t>Prix à demander (AS*)</t>
        </is>
      </c>
    </row>
    <row r="167">
      <c r="A167" s="4" t="inlineStr">
        <is>
          <t>BW-0465</t>
        </is>
      </c>
      <c r="B167" s="21" t="inlineStr">
        <is>
          <t>BOX 30 - Can wrap insulation - A</t>
        </is>
      </c>
      <c r="C167" s="21" t="inlineStr">
        <is>
          <t>BOX 30 (2021)</t>
        </is>
      </c>
      <c r="D167" s="21" t="inlineStr">
        <is>
          <t>Borg&amp;Overström</t>
        </is>
      </c>
      <c r="E167" s="21" t="inlineStr">
        <is>
          <t>635512</t>
        </is>
      </c>
      <c r="F167" s="22" t="n"/>
      <c r="G167" s="22" t="n"/>
      <c r="H167" s="23" t="inlineStr">
        <is>
          <t>Prix à demander (AS*)</t>
        </is>
      </c>
    </row>
    <row r="168">
      <c r="A168" s="4" t="inlineStr">
        <is>
          <t>BW-0466</t>
        </is>
      </c>
      <c r="B168" s="21" t="inlineStr">
        <is>
          <t>Single check valve, 1/4</t>
        </is>
      </c>
      <c r="C168" s="21" t="inlineStr">
        <is>
          <t>BOX 30 (2021)</t>
        </is>
      </c>
      <c r="D168" s="21" t="inlineStr">
        <is>
          <t>Borg&amp;Overström</t>
        </is>
      </c>
      <c r="E168" s="21" t="inlineStr">
        <is>
          <t>462668</t>
        </is>
      </c>
      <c r="F168" s="22" t="n"/>
      <c r="G168" s="22" t="n"/>
      <c r="H168" s="23" t="inlineStr">
        <is>
          <t>Prix à demander (AS*)</t>
        </is>
      </c>
    </row>
    <row r="169">
      <c r="A169" s="4" t="inlineStr">
        <is>
          <t>BW-0467</t>
        </is>
      </c>
      <c r="B169" s="21" t="inlineStr">
        <is>
          <t>3/8 LLDPE tube</t>
        </is>
      </c>
      <c r="C169" s="21" t="inlineStr">
        <is>
          <t>BOX 30 (2021)</t>
        </is>
      </c>
      <c r="D169" s="21" t="inlineStr">
        <is>
          <t>Borg&amp;Overström</t>
        </is>
      </c>
      <c r="E169" s="21" t="inlineStr">
        <is>
          <t>462012</t>
        </is>
      </c>
      <c r="F169" s="22" t="n"/>
      <c r="G169" s="22" t="n"/>
      <c r="H169" s="23" t="inlineStr">
        <is>
          <t>Prix à demander (AS*)</t>
        </is>
      </c>
    </row>
    <row r="170">
      <c r="A170" s="4" t="inlineStr">
        <is>
          <t>BW-0468</t>
        </is>
      </c>
      <c r="B170" s="21" t="inlineStr">
        <is>
          <t>Bulkhead connector, 1/4</t>
        </is>
      </c>
      <c r="C170" s="21" t="inlineStr">
        <is>
          <t>BOX 30 (2021)</t>
        </is>
      </c>
      <c r="D170" s="21" t="inlineStr">
        <is>
          <t>Borg&amp;Overström</t>
        </is>
      </c>
      <c r="E170" s="21" t="inlineStr">
        <is>
          <t>462325</t>
        </is>
      </c>
      <c r="F170" s="22" t="n"/>
      <c r="G170" s="22" t="n"/>
      <c r="H170" s="23" t="inlineStr">
        <is>
          <t>Prix à demander (AS*)</t>
        </is>
      </c>
    </row>
    <row r="171">
      <c r="A171" s="4" t="inlineStr">
        <is>
          <t>BW-0469</t>
        </is>
      </c>
      <c r="B171" s="21" t="inlineStr">
        <is>
          <t>BOX 30 - Lid - A</t>
        </is>
      </c>
      <c r="C171" s="21" t="inlineStr">
        <is>
          <t>BOX 30 (2021)</t>
        </is>
      </c>
      <c r="D171" s="21" t="inlineStr">
        <is>
          <t>Borg&amp;Overström</t>
        </is>
      </c>
      <c r="E171" s="21" t="inlineStr">
        <is>
          <t>632032</t>
        </is>
      </c>
      <c r="F171" s="22" t="n"/>
      <c r="G171" s="22" t="n"/>
      <c r="H171" s="23" t="inlineStr">
        <is>
          <t>Prix à demander (AS*)</t>
        </is>
      </c>
    </row>
    <row r="172">
      <c r="A172" s="4" t="inlineStr">
        <is>
          <t>BW-0470</t>
        </is>
      </c>
      <c r="B172" s="21" t="inlineStr">
        <is>
          <t>BOX 30 - Flow control - A</t>
        </is>
      </c>
      <c r="C172" s="21" t="inlineStr">
        <is>
          <t>BOX 30 (2021)</t>
        </is>
      </c>
      <c r="D172" s="21" t="inlineStr">
        <is>
          <t>Borg&amp;Overström</t>
        </is>
      </c>
      <c r="E172" s="21" t="inlineStr">
        <is>
          <t>637325</t>
        </is>
      </c>
      <c r="F172" s="22" t="n"/>
      <c r="G172" s="22" t="n"/>
      <c r="H172" s="23" t="inlineStr">
        <is>
          <t>Prix à demander (AS*)</t>
        </is>
      </c>
    </row>
    <row r="173">
      <c r="A173" s="4" t="inlineStr">
        <is>
          <t>BW-0471</t>
        </is>
      </c>
      <c r="B173" s="21" t="inlineStr">
        <is>
          <t>Stem adaptator, 3/8 OD x 1/4 BSP</t>
        </is>
      </c>
      <c r="C173" s="21" t="inlineStr">
        <is>
          <t>BOX 30 (2021)</t>
        </is>
      </c>
      <c r="D173" s="21" t="inlineStr">
        <is>
          <t>Borg&amp;Overström</t>
        </is>
      </c>
      <c r="E173" s="21" t="inlineStr">
        <is>
          <t>462364</t>
        </is>
      </c>
      <c r="F173" s="22" t="n"/>
      <c r="G173" s="22" t="n"/>
      <c r="H173" s="23" t="inlineStr">
        <is>
          <t>Prix à demander (AS*)</t>
        </is>
      </c>
    </row>
    <row r="174">
      <c r="A174" s="4" t="inlineStr">
        <is>
          <t>BW-0472</t>
        </is>
      </c>
      <c r="B174" s="21" t="inlineStr">
        <is>
          <t>Equal Tee, 1/4</t>
        </is>
      </c>
      <c r="C174" s="21" t="inlineStr">
        <is>
          <t>BOX 30 (2021)</t>
        </is>
      </c>
      <c r="D174" s="21" t="inlineStr">
        <is>
          <t>Borg&amp;Overström</t>
        </is>
      </c>
      <c r="E174" s="21" t="inlineStr">
        <is>
          <t>462318</t>
        </is>
      </c>
      <c r="F174" s="22" t="n"/>
      <c r="G174" s="22" t="n"/>
      <c r="H174" s="23" t="inlineStr">
        <is>
          <t>Prix à demander (AS*)</t>
        </is>
      </c>
    </row>
    <row r="175">
      <c r="A175" s="4" t="inlineStr">
        <is>
          <t>BW-0473</t>
        </is>
      </c>
      <c r="B175" s="21" t="inlineStr">
        <is>
          <t>Stem Elbow, 3/8-1/4</t>
        </is>
      </c>
      <c r="C175" s="21" t="inlineStr">
        <is>
          <t>BOX 30 (2021)</t>
        </is>
      </c>
      <c r="D175" s="21" t="inlineStr">
        <is>
          <t>Borg&amp;Overström</t>
        </is>
      </c>
      <c r="E175" s="21" t="inlineStr">
        <is>
          <t>462359</t>
        </is>
      </c>
      <c r="F175" s="22" t="n"/>
      <c r="G175" s="22" t="n"/>
      <c r="H175" s="23" t="inlineStr">
        <is>
          <t>Prix à demander (AS*)</t>
        </is>
      </c>
    </row>
    <row r="176">
      <c r="A176" s="4" t="inlineStr">
        <is>
          <t>BW-0475</t>
        </is>
      </c>
      <c r="B176" s="21" t="inlineStr">
        <is>
          <t>Single check valve, 5/16</t>
        </is>
      </c>
      <c r="C176" s="21" t="inlineStr">
        <is>
          <t>BOX 30 (2021)</t>
        </is>
      </c>
      <c r="D176" s="21" t="inlineStr">
        <is>
          <t>Borg&amp;Overström</t>
        </is>
      </c>
      <c r="E176" s="21" t="inlineStr">
        <is>
          <t>462667</t>
        </is>
      </c>
      <c r="F176" s="22" t="n"/>
      <c r="G176" s="22" t="n"/>
      <c r="H176" s="23" t="inlineStr">
        <is>
          <t>Prix à demander (AS*)</t>
        </is>
      </c>
    </row>
    <row r="177">
      <c r="A177" s="4" t="inlineStr">
        <is>
          <t>BW-0476</t>
        </is>
      </c>
      <c r="B177" s="21" t="inlineStr">
        <is>
          <t>Equal elbow 5/16</t>
        </is>
      </c>
      <c r="C177" s="21" t="inlineStr">
        <is>
          <t>BOX 30 (2021)</t>
        </is>
      </c>
      <c r="D177" s="21" t="inlineStr">
        <is>
          <t>Borg&amp;Overström</t>
        </is>
      </c>
      <c r="E177" s="21" t="inlineStr">
        <is>
          <t>462376</t>
        </is>
      </c>
      <c r="F177" s="22" t="n"/>
      <c r="G177" s="22" t="n"/>
      <c r="H177" s="23" t="inlineStr">
        <is>
          <t>Prix à demander (AS*)</t>
        </is>
      </c>
    </row>
    <row r="178">
      <c r="A178" s="4" t="inlineStr">
        <is>
          <t>BW-0477</t>
        </is>
      </c>
      <c r="B178" s="21" t="inlineStr">
        <is>
          <t>Reducing elbow 3/8 x 1/4</t>
        </is>
      </c>
      <c r="C178" s="21" t="inlineStr">
        <is>
          <t>BOX 30 (2021)</t>
        </is>
      </c>
      <c r="D178" s="21" t="inlineStr">
        <is>
          <t>Borg&amp;Overström</t>
        </is>
      </c>
      <c r="E178" s="21" t="inlineStr">
        <is>
          <t>462327</t>
        </is>
      </c>
      <c r="F178" s="22" t="n"/>
      <c r="G178" s="22" t="n"/>
      <c r="H178" s="23" t="inlineStr">
        <is>
          <t>Prix à demander (AS*)</t>
        </is>
      </c>
    </row>
    <row r="179">
      <c r="A179" s="4" t="inlineStr">
        <is>
          <t>BW-0478</t>
        </is>
      </c>
      <c r="B179" s="21" t="inlineStr">
        <is>
          <t>Equal Elbow 3/8"</t>
        </is>
      </c>
      <c r="C179" s="21" t="inlineStr">
        <is>
          <t>BOX 30 (2021)</t>
        </is>
      </c>
      <c r="D179" s="21" t="inlineStr">
        <is>
          <t>Borg&amp;Overström</t>
        </is>
      </c>
      <c r="E179" s="21" t="inlineStr">
        <is>
          <t>462362</t>
        </is>
      </c>
      <c r="F179" s="22" t="n"/>
      <c r="G179" s="22" t="n"/>
      <c r="H179" s="23" t="inlineStr">
        <is>
          <t>Prix à demander (AS*)</t>
        </is>
      </c>
    </row>
    <row r="180">
      <c r="A180" s="4" t="inlineStr">
        <is>
          <t>BW-0479</t>
        </is>
      </c>
      <c r="B180" s="21" t="inlineStr">
        <is>
          <t>BOX 30 - Swan Neck Faucet Connection Harness -A</t>
        </is>
      </c>
      <c r="C180" s="21" t="inlineStr">
        <is>
          <t>BOX 30 (2021)</t>
        </is>
      </c>
      <c r="D180" s="21" t="inlineStr">
        <is>
          <t>Borg&amp;Overström</t>
        </is>
      </c>
      <c r="E180" s="21" t="inlineStr">
        <is>
          <t>172180</t>
        </is>
      </c>
      <c r="F180" s="22" t="n"/>
      <c r="G180" s="22" t="n"/>
      <c r="H180" s="23" t="inlineStr">
        <is>
          <t>Prix à demander (AS*)</t>
        </is>
      </c>
    </row>
    <row r="181">
      <c r="A181" s="4" t="inlineStr">
        <is>
          <t>BW-0480</t>
        </is>
      </c>
      <c r="B181" s="21" t="inlineStr">
        <is>
          <t>Stem Elbow, 3/8-1/4</t>
        </is>
      </c>
      <c r="C181" s="21" t="inlineStr">
        <is>
          <t>BOX 30 (2021)</t>
        </is>
      </c>
      <c r="D181" s="21" t="inlineStr">
        <is>
          <t>Borg&amp;Overström</t>
        </is>
      </c>
      <c r="E181" s="21" t="inlineStr">
        <is>
          <t>462369</t>
        </is>
      </c>
      <c r="F181" s="22" t="n"/>
      <c r="G181" s="22" t="n"/>
      <c r="H181" s="23" t="inlineStr">
        <is>
          <t>Prix à demander (AS*)</t>
        </is>
      </c>
    </row>
    <row r="182">
      <c r="A182" s="4" t="inlineStr">
        <is>
          <t>BW-0481</t>
        </is>
      </c>
      <c r="B182" s="21" t="inlineStr">
        <is>
          <t>Reducing Straight Connector, 5/16-1/4</t>
        </is>
      </c>
      <c r="C182" s="21" t="inlineStr">
        <is>
          <t>BOX 30 (2021)</t>
        </is>
      </c>
      <c r="D182" s="21" t="inlineStr">
        <is>
          <t>Borg&amp;Overström</t>
        </is>
      </c>
      <c r="E182" s="21" t="inlineStr">
        <is>
          <t>462874</t>
        </is>
      </c>
      <c r="F182" s="22" t="n"/>
      <c r="G182" s="22" t="n"/>
      <c r="H182" s="23" t="inlineStr">
        <is>
          <t>Prix à demander (AS*)</t>
        </is>
      </c>
    </row>
    <row r="183">
      <c r="A183" s="4" t="inlineStr">
        <is>
          <t>BW-0482</t>
        </is>
      </c>
      <c r="B183" s="21" t="inlineStr">
        <is>
          <t>Stem elbow, 5/16-5/16</t>
        </is>
      </c>
      <c r="C183" s="21" t="inlineStr">
        <is>
          <t>BOX 30 (2021)</t>
        </is>
      </c>
      <c r="D183" s="21" t="inlineStr">
        <is>
          <t>Borg&amp;Overström</t>
        </is>
      </c>
      <c r="E183" s="21" t="inlineStr">
        <is>
          <t>462384</t>
        </is>
      </c>
      <c r="F183" s="22" t="n"/>
      <c r="G183" s="22" t="n"/>
      <c r="H183" s="23" t="inlineStr">
        <is>
          <t>Prix à demander (AS*)</t>
        </is>
      </c>
    </row>
    <row r="184">
      <c r="A184" s="4" t="inlineStr">
        <is>
          <t>BW-0483</t>
        </is>
      </c>
      <c r="B184" s="21" t="inlineStr">
        <is>
          <t>Stem elbow, 1/4-1/4</t>
        </is>
      </c>
      <c r="C184" s="21" t="inlineStr">
        <is>
          <t>BOX 30 (2021)</t>
        </is>
      </c>
      <c r="D184" s="21" t="inlineStr">
        <is>
          <t>Borg&amp;Overström</t>
        </is>
      </c>
      <c r="E184" s="21" t="inlineStr">
        <is>
          <t>462368</t>
        </is>
      </c>
      <c r="F184" s="22" t="n"/>
      <c r="G184" s="22" t="n"/>
      <c r="H184" s="23" t="inlineStr">
        <is>
          <t>Prix à demander (AS*)</t>
        </is>
      </c>
    </row>
    <row r="185">
      <c r="A185" s="4" t="inlineStr">
        <is>
          <t>BW-0484</t>
        </is>
      </c>
      <c r="B185" s="21" t="inlineStr">
        <is>
          <t>Stem Elbow, 3/8-3/8</t>
        </is>
      </c>
      <c r="C185" s="21" t="inlineStr">
        <is>
          <t>BOX 30 (2021)</t>
        </is>
      </c>
      <c r="D185" s="21" t="inlineStr">
        <is>
          <t>Borg&amp;Overström</t>
        </is>
      </c>
      <c r="E185" s="21" t="inlineStr">
        <is>
          <t>462371</t>
        </is>
      </c>
      <c r="F185" s="22" t="n"/>
      <c r="G185" s="22" t="n"/>
      <c r="H185" s="23" t="inlineStr">
        <is>
          <t>Prix à demander (AS*)</t>
        </is>
      </c>
    </row>
    <row r="186">
      <c r="A186" s="4" t="inlineStr">
        <is>
          <t>BW-0485</t>
        </is>
      </c>
      <c r="B186" s="21" t="inlineStr">
        <is>
          <t>BOX 30 Front wrap - A</t>
        </is>
      </c>
      <c r="C186" s="21" t="inlineStr">
        <is>
          <t>BOX 30 (2021)</t>
        </is>
      </c>
      <c r="D186" s="21" t="inlineStr">
        <is>
          <t>Borg&amp;Overström</t>
        </is>
      </c>
      <c r="E186" s="21" t="inlineStr">
        <is>
          <t>632031</t>
        </is>
      </c>
      <c r="F186" s="22" t="n"/>
      <c r="G186" s="22" t="n"/>
      <c r="H186" s="23" t="inlineStr">
        <is>
          <t>Prix à demander (AS*)</t>
        </is>
      </c>
    </row>
    <row r="187">
      <c r="A187" s="4" t="inlineStr">
        <is>
          <t>BW-0493</t>
        </is>
      </c>
      <c r="B187" s="21" t="inlineStr">
        <is>
          <t>PRO2 - Top cover panel</t>
        </is>
      </c>
      <c r="C187" s="21" t="inlineStr">
        <is>
          <t>PRO2</t>
        </is>
      </c>
      <c r="D187" s="21" t="inlineStr">
        <is>
          <t>Borg&amp;Overström</t>
        </is>
      </c>
      <c r="E187" s="21" t="inlineStr">
        <is>
          <t>123187</t>
        </is>
      </c>
      <c r="F187" s="22" t="n"/>
      <c r="G187" s="22" t="n"/>
      <c r="H187" s="23" t="inlineStr">
        <is>
          <t>Prix à demander (AS*)</t>
        </is>
      </c>
    </row>
    <row r="188">
      <c r="A188" s="4" t="inlineStr">
        <is>
          <t>BW-0494</t>
        </is>
      </c>
      <c r="B188" s="21" t="inlineStr">
        <is>
          <t>PRO2 - Pressure release valve for carbonation tank</t>
        </is>
      </c>
      <c r="C188" s="21" t="inlineStr">
        <is>
          <t>PRO2</t>
        </is>
      </c>
      <c r="D188" s="21" t="inlineStr">
        <is>
          <t>Borg&amp;Overström</t>
        </is>
      </c>
      <c r="E188" s="21" t="inlineStr">
        <is>
          <t>134612</t>
        </is>
      </c>
      <c r="F188" s="22" t="n"/>
      <c r="G188" s="22" t="n"/>
      <c r="H188" s="23" t="inlineStr">
        <is>
          <t>Prix à demander (AS*)</t>
        </is>
      </c>
    </row>
    <row r="189">
      <c r="A189" s="4" t="inlineStr">
        <is>
          <t>BW-0495</t>
        </is>
      </c>
      <c r="B189" s="21" t="inlineStr">
        <is>
          <t>PRO2 - Single check valve</t>
        </is>
      </c>
      <c r="C189" s="21" t="inlineStr">
        <is>
          <t>PRO2</t>
        </is>
      </c>
      <c r="D189" s="21" t="inlineStr">
        <is>
          <t>Borg&amp;Overström</t>
        </is>
      </c>
      <c r="E189" s="21" t="inlineStr">
        <is>
          <t>132445</t>
        </is>
      </c>
      <c r="F189" s="22" t="n"/>
      <c r="G189" s="22" t="n"/>
      <c r="H189" s="23" t="inlineStr">
        <is>
          <t>Prix à demander (AS*)</t>
        </is>
      </c>
    </row>
    <row r="190">
      <c r="A190" s="4" t="inlineStr">
        <is>
          <t>BW-0496</t>
        </is>
      </c>
      <c r="B190" s="21" t="inlineStr">
        <is>
          <t>PRO2 - Grit filter</t>
        </is>
      </c>
      <c r="C190" s="21" t="inlineStr">
        <is>
          <t>PRO2</t>
        </is>
      </c>
      <c r="D190" s="21" t="inlineStr">
        <is>
          <t>Borg&amp;Overström</t>
        </is>
      </c>
      <c r="E190" s="21" t="inlineStr">
        <is>
          <t>194121</t>
        </is>
      </c>
      <c r="F190" s="22" t="n"/>
      <c r="G190" s="22" t="n"/>
      <c r="H190" s="23" t="inlineStr">
        <is>
          <t>Prix à demander (AS*)</t>
        </is>
      </c>
    </row>
    <row r="191">
      <c r="A191" s="4" t="inlineStr">
        <is>
          <t>BW-0497</t>
        </is>
      </c>
      <c r="B191" s="21" t="inlineStr">
        <is>
          <t>PRO2 - 2-port drainage outlet</t>
        </is>
      </c>
      <c r="C191" s="21" t="inlineStr">
        <is>
          <t>PRO2</t>
        </is>
      </c>
      <c r="D191" s="21" t="inlineStr">
        <is>
          <t>Borg&amp;Overström</t>
        </is>
      </c>
      <c r="E191" s="21" t="inlineStr">
        <is>
          <t>131426</t>
        </is>
      </c>
      <c r="F191" s="22" t="n"/>
      <c r="G191" s="22" t="n"/>
      <c r="H191" s="23" t="inlineStr">
        <is>
          <t>Prix à demander (AS*)</t>
        </is>
      </c>
    </row>
    <row r="192">
      <c r="A192" s="4" t="inlineStr">
        <is>
          <t>BW-0498</t>
        </is>
      </c>
      <c r="B192" s="21" t="inlineStr">
        <is>
          <t>PRO2 - Electric rocker switch</t>
        </is>
      </c>
      <c r="C192" s="21" t="inlineStr">
        <is>
          <t>PRO2</t>
        </is>
      </c>
      <c r="D192" s="21" t="inlineStr">
        <is>
          <t>Borg&amp;Overström</t>
        </is>
      </c>
      <c r="E192" s="21" t="inlineStr">
        <is>
          <t>174321</t>
        </is>
      </c>
      <c r="F192" s="22" t="n"/>
      <c r="G192" s="22" t="n"/>
      <c r="H192" s="23" t="inlineStr">
        <is>
          <t>Prix à demander (AS*)</t>
        </is>
      </c>
    </row>
    <row r="193">
      <c r="A193" s="4" t="inlineStr">
        <is>
          <t>BW-0499</t>
        </is>
      </c>
      <c r="B193" s="21" t="inlineStr">
        <is>
          <t>PRO2 - IEC Fused socket</t>
        </is>
      </c>
      <c r="C193" s="21" t="inlineStr">
        <is>
          <t>PRO2</t>
        </is>
      </c>
      <c r="D193" s="21" t="inlineStr">
        <is>
          <t>Borg&amp;Overström</t>
        </is>
      </c>
      <c r="E193" s="21" t="inlineStr">
        <is>
          <t>172163</t>
        </is>
      </c>
      <c r="F193" s="22" t="n"/>
      <c r="G193" s="22" t="n"/>
      <c r="H193" s="23" t="inlineStr">
        <is>
          <t>Prix à demander (AS*)</t>
        </is>
      </c>
    </row>
    <row r="194">
      <c r="A194" s="4" t="inlineStr">
        <is>
          <t>BW-0500</t>
        </is>
      </c>
      <c r="B194" s="21" t="inlineStr">
        <is>
          <t>PRO2 - Pump 35L/h 24VDC</t>
        </is>
      </c>
      <c r="C194" s="21" t="inlineStr">
        <is>
          <t>PRO2</t>
        </is>
      </c>
      <c r="D194" s="21" t="inlineStr">
        <is>
          <t>Borg&amp;Overström</t>
        </is>
      </c>
      <c r="E194" s="21" t="inlineStr">
        <is>
          <t>174372</t>
        </is>
      </c>
      <c r="F194" s="22" t="n">
        <v>280</v>
      </c>
      <c r="G194" s="22" t="n"/>
      <c r="H194" s="21" t="inlineStr"/>
    </row>
    <row r="195">
      <c r="A195" s="4" t="inlineStr">
        <is>
          <t>BW-0501</t>
        </is>
      </c>
      <c r="B195" s="21" t="inlineStr">
        <is>
          <t>PRO2 - Left Side Panel inc handle</t>
        </is>
      </c>
      <c r="C195" s="21" t="inlineStr">
        <is>
          <t>PRO2</t>
        </is>
      </c>
      <c r="D195" s="21" t="inlineStr">
        <is>
          <t>Borg&amp;Overström</t>
        </is>
      </c>
      <c r="E195" s="21" t="inlineStr">
        <is>
          <t>121850</t>
        </is>
      </c>
      <c r="F195" s="22" t="n"/>
      <c r="G195" s="22" t="n"/>
      <c r="H195" s="23" t="inlineStr">
        <is>
          <t>Prix à demander (AS*)</t>
        </is>
      </c>
    </row>
    <row r="196">
      <c r="A196" s="4" t="inlineStr">
        <is>
          <t>BW-0502</t>
        </is>
      </c>
      <c r="B196" s="21" t="inlineStr">
        <is>
          <t>PRO2 - Compressor</t>
        </is>
      </c>
      <c r="C196" s="21" t="inlineStr">
        <is>
          <t>PRO2</t>
        </is>
      </c>
      <c r="D196" s="21" t="inlineStr">
        <is>
          <t>Borg&amp;Overström</t>
        </is>
      </c>
      <c r="E196" s="21" t="inlineStr">
        <is>
          <t>174313</t>
        </is>
      </c>
      <c r="F196" s="22" t="n"/>
      <c r="G196" s="22" t="n"/>
      <c r="H196" s="23" t="inlineStr">
        <is>
          <t>Prix à demander (AS*)</t>
        </is>
      </c>
    </row>
    <row r="197">
      <c r="A197" s="4" t="inlineStr">
        <is>
          <t>BW-0503</t>
        </is>
      </c>
      <c r="B197" s="21" t="inlineStr">
        <is>
          <t>PRO2 - Main PCB Case Assembly</t>
        </is>
      </c>
      <c r="C197" s="21" t="inlineStr">
        <is>
          <t>PRO2</t>
        </is>
      </c>
      <c r="D197" s="21" t="inlineStr">
        <is>
          <t>Borg&amp;Overström</t>
        </is>
      </c>
      <c r="E197" s="21" t="inlineStr">
        <is>
          <t>171268</t>
        </is>
      </c>
      <c r="F197" s="22" t="n"/>
      <c r="G197" s="22" t="n"/>
      <c r="H197" s="23" t="inlineStr">
        <is>
          <t>Prix à demander (AS*)</t>
        </is>
      </c>
    </row>
    <row r="198">
      <c r="A198" s="4" t="inlineStr">
        <is>
          <t>BW-0504</t>
        </is>
      </c>
      <c r="B198" s="21" t="inlineStr">
        <is>
          <t>PRO2 - Faucet 4 Outlets</t>
        </is>
      </c>
      <c r="C198" s="21" t="inlineStr">
        <is>
          <t>PRO2</t>
        </is>
      </c>
      <c r="D198" s="21" t="inlineStr">
        <is>
          <t>Borg&amp;Overström</t>
        </is>
      </c>
      <c r="E198" s="21" t="inlineStr">
        <is>
          <t>133514</t>
        </is>
      </c>
      <c r="F198" s="22" t="n"/>
      <c r="G198" s="22" t="n"/>
      <c r="H198" s="23" t="inlineStr">
        <is>
          <t>Prix à demander (AS*)</t>
        </is>
      </c>
    </row>
    <row r="199">
      <c r="A199" s="4" t="inlineStr">
        <is>
          <t>BW-0505</t>
        </is>
      </c>
      <c r="B199" s="21" t="inlineStr">
        <is>
          <t>PRO2 - Faucet Shroud</t>
        </is>
      </c>
      <c r="C199" s="21" t="inlineStr">
        <is>
          <t>PRO2</t>
        </is>
      </c>
      <c r="D199" s="21" t="inlineStr">
        <is>
          <t>Borg&amp;Overström</t>
        </is>
      </c>
      <c r="E199" s="21" t="inlineStr">
        <is>
          <t>183246</t>
        </is>
      </c>
      <c r="F199" s="22" t="n"/>
      <c r="G199" s="22" t="n"/>
      <c r="H199" s="23" t="inlineStr">
        <is>
          <t>Prix à demander (AS*)</t>
        </is>
      </c>
    </row>
    <row r="200">
      <c r="A200" s="4" t="inlineStr">
        <is>
          <t>BW-0506</t>
        </is>
      </c>
      <c r="B200" s="21" t="inlineStr">
        <is>
          <t>PRO2 - Front panel Black</t>
        </is>
      </c>
      <c r="C200" s="21" t="inlineStr">
        <is>
          <t>PRO2</t>
        </is>
      </c>
      <c r="D200" s="21" t="inlineStr">
        <is>
          <t>Borg&amp;Overström</t>
        </is>
      </c>
      <c r="E200" s="21" t="inlineStr">
        <is>
          <t>120802</t>
        </is>
      </c>
      <c r="F200" s="22" t="n"/>
      <c r="G200" s="22" t="n"/>
      <c r="H200" s="23" t="inlineStr">
        <is>
          <t>Prix à demander (AS*)</t>
        </is>
      </c>
    </row>
    <row r="201">
      <c r="A201" s="4" t="inlineStr">
        <is>
          <t>BW-0507</t>
        </is>
      </c>
      <c r="B201" s="21" t="inlineStr">
        <is>
          <t>PRO2 - Drip Tray Set without drainage black</t>
        </is>
      </c>
      <c r="C201" s="21" t="inlineStr">
        <is>
          <t>PRO2</t>
        </is>
      </c>
      <c r="D201" s="21" t="inlineStr">
        <is>
          <t>Borg&amp;Overström</t>
        </is>
      </c>
      <c r="E201" s="21" t="inlineStr">
        <is>
          <t>125840</t>
        </is>
      </c>
      <c r="F201" s="22" t="n"/>
      <c r="G201" s="22" t="n"/>
      <c r="H201" s="23" t="inlineStr">
        <is>
          <t>Prix à demander (AS*)</t>
        </is>
      </c>
    </row>
    <row r="202">
      <c r="A202" s="4" t="inlineStr">
        <is>
          <t>BW-0508</t>
        </is>
      </c>
      <c r="B202" s="21" t="inlineStr">
        <is>
          <t>PRO2 - Touch Icon Illumination Diffuser</t>
        </is>
      </c>
      <c r="C202" s="21" t="inlineStr">
        <is>
          <t>PRO2</t>
        </is>
      </c>
      <c r="D202" s="21" t="inlineStr">
        <is>
          <t>Borg&amp;Overström</t>
        </is>
      </c>
      <c r="E202" s="21" t="inlineStr">
        <is>
          <t>171269</t>
        </is>
      </c>
      <c r="F202" s="22" t="n"/>
      <c r="G202" s="22" t="n"/>
      <c r="H202" s="23" t="inlineStr">
        <is>
          <t>Prix à demander (AS*)</t>
        </is>
      </c>
    </row>
    <row r="203">
      <c r="A203" s="4" t="inlineStr">
        <is>
          <t>BW-0509</t>
        </is>
      </c>
      <c r="B203" s="21" t="inlineStr">
        <is>
          <t>PRO2 - LED PCB Wiring Loom</t>
        </is>
      </c>
      <c r="C203" s="21" t="inlineStr">
        <is>
          <t>PRO2</t>
        </is>
      </c>
      <c r="D203" s="21" t="inlineStr">
        <is>
          <t>Borg&amp;Overström</t>
        </is>
      </c>
      <c r="E203" s="21" t="inlineStr">
        <is>
          <t>172223</t>
        </is>
      </c>
      <c r="F203" s="22" t="n"/>
      <c r="G203" s="22" t="n"/>
      <c r="H203" s="23" t="inlineStr">
        <is>
          <t>Prix à demander (AS*)</t>
        </is>
      </c>
    </row>
    <row r="204">
      <c r="A204" s="4" t="inlineStr">
        <is>
          <t>BW-0510</t>
        </is>
      </c>
      <c r="B204" s="21" t="inlineStr">
        <is>
          <t>PRO2 - Right Side Panel inc handle</t>
        </is>
      </c>
      <c r="C204" s="21" t="inlineStr">
        <is>
          <t>PRO2</t>
        </is>
      </c>
      <c r="D204" s="21" t="inlineStr">
        <is>
          <t>Borg&amp;Overström</t>
        </is>
      </c>
      <c r="E204" s="21" t="inlineStr">
        <is>
          <t>121851</t>
        </is>
      </c>
      <c r="F204" s="22" t="n"/>
      <c r="G204" s="22" t="n"/>
      <c r="H204" s="23" t="inlineStr">
        <is>
          <t>Prix à demander (AS*)</t>
        </is>
      </c>
    </row>
    <row r="205">
      <c r="A205" s="4" t="inlineStr">
        <is>
          <t>BW-0511</t>
        </is>
      </c>
      <c r="B205" s="21" t="inlineStr">
        <is>
          <t>PRO2 - CO2 Single Gauge Regulator with elbow</t>
        </is>
      </c>
      <c r="C205" s="21" t="inlineStr">
        <is>
          <t>PRO2</t>
        </is>
      </c>
      <c r="D205" s="21" t="inlineStr">
        <is>
          <t>Borg&amp;Overström</t>
        </is>
      </c>
      <c r="E205" s="21" t="inlineStr">
        <is>
          <t>193220</t>
        </is>
      </c>
      <c r="F205" s="22" t="n"/>
      <c r="G205" s="22" t="n"/>
      <c r="H205" s="23" t="inlineStr">
        <is>
          <t>Prix à demander (AS*)</t>
        </is>
      </c>
    </row>
    <row r="206">
      <c r="A206" s="4" t="inlineStr">
        <is>
          <t>BW-0635</t>
        </is>
      </c>
      <c r="B206" s="21" t="inlineStr">
        <is>
          <t>AQTiV flow compensator</t>
        </is>
      </c>
      <c r="C206" s="21" t="inlineStr">
        <is>
          <t>AQTiV COMBI; AQTiV ONE</t>
        </is>
      </c>
      <c r="D206" s="21" t="inlineStr">
        <is>
          <t>Superinox</t>
        </is>
      </c>
      <c r="E206" s="21" t="inlineStr">
        <is>
          <t>R040096-030</t>
        </is>
      </c>
      <c r="F206" s="22" t="n"/>
      <c r="G206" s="22" t="n"/>
      <c r="H206" s="23" t="inlineStr">
        <is>
          <t>Prix à demander (AS*)</t>
        </is>
      </c>
    </row>
    <row r="207">
      <c r="A207" s="4" t="inlineStr">
        <is>
          <t>BW-0646</t>
        </is>
      </c>
      <c r="B207" s="21" t="inlineStr">
        <is>
          <t>PRO1 - Refrigeration probe - A</t>
        </is>
      </c>
      <c r="C207" s="21" t="inlineStr">
        <is>
          <t>PRO1; BOX 30 (2021)</t>
        </is>
      </c>
      <c r="D207" s="21" t="inlineStr">
        <is>
          <t>Borg&amp;Overström</t>
        </is>
      </c>
      <c r="E207" s="21" t="inlineStr">
        <is>
          <t>720023</t>
        </is>
      </c>
      <c r="F207" s="22" t="n">
        <v>43</v>
      </c>
      <c r="G207" s="22" t="n"/>
      <c r="H207" s="21" t="inlineStr"/>
    </row>
    <row r="208">
      <c r="A208" s="4" t="inlineStr">
        <is>
          <t>BW-0647</t>
        </is>
      </c>
      <c r="B208" s="21" t="inlineStr">
        <is>
          <t>PRO1 - Level probe - A</t>
        </is>
      </c>
      <c r="C208" s="21" t="inlineStr">
        <is>
          <t>PRO1; BOX 30 (2021)</t>
        </is>
      </c>
      <c r="D208" s="21" t="inlineStr">
        <is>
          <t>Borg&amp;Overström</t>
        </is>
      </c>
      <c r="E208" s="21" t="inlineStr">
        <is>
          <t>637327</t>
        </is>
      </c>
      <c r="F208" s="22" t="n"/>
      <c r="G208" s="22" t="n"/>
      <c r="H208" s="21" t="inlineStr"/>
    </row>
    <row r="209">
      <c r="A209" s="4" t="inlineStr">
        <is>
          <t>BW-0783</t>
        </is>
      </c>
      <c r="B209" s="21" t="inlineStr">
        <is>
          <t>PRO2 - Loom solenoids Rev2</t>
        </is>
      </c>
      <c r="C209" s="21" t="inlineStr">
        <is>
          <t>PRO2</t>
        </is>
      </c>
      <c r="D209" s="21" t="inlineStr">
        <is>
          <t>Borg&amp;Overström</t>
        </is>
      </c>
      <c r="E209" s="21" t="inlineStr">
        <is>
          <t>702539</t>
        </is>
      </c>
      <c r="F209" s="22" t="n"/>
      <c r="G209" s="22" t="n"/>
      <c r="H209" s="23" t="inlineStr">
        <is>
          <t>Prix à demander (AS*)</t>
        </is>
      </c>
    </row>
    <row r="210">
      <c r="A210" s="4" t="inlineStr">
        <is>
          <t>BW-0973</t>
        </is>
      </c>
      <c r="B210" s="21" t="inlineStr">
        <is>
          <t>Gearbox - Handle (x10)</t>
        </is>
      </c>
      <c r="C210" s="21" t="inlineStr">
        <is>
          <t>AQTiV COMBI; AQTiV ONE</t>
        </is>
      </c>
      <c r="D210" s="21" t="inlineStr"/>
      <c r="E210" s="21" t="inlineStr">
        <is>
          <t>P040039 + P036001</t>
        </is>
      </c>
      <c r="F210" s="22" t="n"/>
      <c r="G210" s="22" t="n"/>
      <c r="H210" s="23" t="inlineStr">
        <is>
          <t>Absente de la base 2022</t>
        </is>
      </c>
    </row>
    <row r="211">
      <c r="A211" s="4" t="inlineStr">
        <is>
          <t>BW-0974</t>
        </is>
      </c>
      <c r="B211" s="21" t="inlineStr">
        <is>
          <t>Gearbox - Hat without handle (x5)</t>
        </is>
      </c>
      <c r="C211" s="21" t="inlineStr">
        <is>
          <t>AQTiV COMBI; AQTiV ONE</t>
        </is>
      </c>
      <c r="D211" s="21" t="inlineStr"/>
      <c r="E211" s="21" t="inlineStr">
        <is>
          <t>P040038</t>
        </is>
      </c>
      <c r="F211" s="22" t="n"/>
      <c r="G211" s="22" t="n"/>
      <c r="H211" s="23" t="inlineStr">
        <is>
          <t>Absente de la base 2022</t>
        </is>
      </c>
    </row>
    <row r="212">
      <c r="A212" s="4" t="inlineStr">
        <is>
          <t>BW-0975</t>
        </is>
      </c>
      <c r="B212" s="21" t="inlineStr">
        <is>
          <t>Gearbox - Lever (x10)</t>
        </is>
      </c>
      <c r="C212" s="21" t="inlineStr">
        <is>
          <t>AQTiV COMBI; AQTiV ONE</t>
        </is>
      </c>
      <c r="D212" s="21" t="inlineStr"/>
      <c r="E212" s="21" t="inlineStr">
        <is>
          <t xml:space="preserve"> P040035 + P040040</t>
        </is>
      </c>
      <c r="F212" s="22" t="n"/>
      <c r="G212" s="22" t="n"/>
      <c r="H212" s="23" t="inlineStr">
        <is>
          <t>Absente de la base 2022</t>
        </is>
      </c>
    </row>
    <row r="213">
      <c r="A213" s="4" t="inlineStr">
        <is>
          <t>BW-0987</t>
        </is>
      </c>
      <c r="B213" s="21" t="inlineStr">
        <is>
          <t>Stainless-steel tank</t>
        </is>
      </c>
      <c r="C213" s="21" t="inlineStr">
        <is>
          <t>BOX 20</t>
        </is>
      </c>
      <c r="D213" s="21" t="inlineStr"/>
      <c r="E213" s="21" t="inlineStr"/>
      <c r="F213" s="22" t="n"/>
      <c r="G213" s="22" t="n"/>
      <c r="H213" s="23" t="inlineStr">
        <is>
          <t>Absente de la base 2022</t>
        </is>
      </c>
    </row>
    <row r="214">
      <c r="A214" s="4" t="inlineStr">
        <is>
          <t>BW-0988</t>
        </is>
      </c>
      <c r="B214" s="21" t="inlineStr">
        <is>
          <t>Axial fan 120x120x25</t>
        </is>
      </c>
      <c r="C214" s="21" t="inlineStr">
        <is>
          <t>BOX 20</t>
        </is>
      </c>
      <c r="D214" s="21" t="inlineStr"/>
      <c r="E214" s="21" t="inlineStr"/>
      <c r="F214" s="22" t="n"/>
      <c r="G214" s="22" t="n"/>
      <c r="H214" s="23" t="inlineStr">
        <is>
          <t>Absente de la base 2022</t>
        </is>
      </c>
    </row>
    <row r="215">
      <c r="A215" s="4" t="inlineStr">
        <is>
          <t>BW-0989</t>
        </is>
      </c>
      <c r="B215" s="21" t="inlineStr">
        <is>
          <t>Condenser</t>
        </is>
      </c>
      <c r="C215" s="21" t="inlineStr">
        <is>
          <t>BOX 20</t>
        </is>
      </c>
      <c r="D215" s="21" t="inlineStr"/>
      <c r="E215" s="21" t="inlineStr"/>
      <c r="F215" s="22" t="n"/>
      <c r="G215" s="22" t="n"/>
      <c r="H215" s="23" t="inlineStr">
        <is>
          <t>Absente de la base 2022</t>
        </is>
      </c>
    </row>
    <row r="216">
      <c r="A216" s="4" t="inlineStr">
        <is>
          <t>BW-0990</t>
        </is>
      </c>
      <c r="B216" s="21" t="inlineStr">
        <is>
          <t>Solenoid valve (per schema)</t>
        </is>
      </c>
      <c r="C216" s="21" t="inlineStr">
        <is>
          <t>BOX 20</t>
        </is>
      </c>
      <c r="D216" s="21" t="inlineStr"/>
      <c r="E216" s="21" t="inlineStr"/>
      <c r="F216" s="22" t="n"/>
      <c r="G216" s="22" t="n"/>
      <c r="H216" s="23" t="inlineStr">
        <is>
          <t>Absente de la base 2022</t>
        </is>
      </c>
    </row>
    <row r="217">
      <c r="A217" s="4" t="inlineStr">
        <is>
          <t>BW-0991</t>
        </is>
      </c>
      <c r="B217" s="21" t="inlineStr">
        <is>
          <t>Thermostat Ranco K50 P1127.0</t>
        </is>
      </c>
      <c r="C217" s="21" t="inlineStr">
        <is>
          <t>BOX 20</t>
        </is>
      </c>
      <c r="D217" s="21" t="inlineStr"/>
      <c r="E217" s="21" t="inlineStr"/>
      <c r="F217" s="22" t="n"/>
      <c r="G217" s="22" t="n"/>
      <c r="H217" s="23" t="inlineStr">
        <is>
          <t>Absente de la base 2022</t>
        </is>
      </c>
    </row>
    <row r="218">
      <c r="A218" s="4" t="inlineStr">
        <is>
          <t>BW-0992</t>
        </is>
      </c>
      <c r="B218" s="21" t="inlineStr">
        <is>
          <t>Solenoid-valve bracket</t>
        </is>
      </c>
      <c r="C218" s="21" t="inlineStr">
        <is>
          <t>BOX 20</t>
        </is>
      </c>
      <c r="D218" s="21" t="inlineStr"/>
      <c r="E218" s="21" t="inlineStr"/>
      <c r="F218" s="22" t="n"/>
      <c r="G218" s="22" t="n"/>
      <c r="H218" s="23" t="inlineStr">
        <is>
          <t>Absente de la base 2022</t>
        </is>
      </c>
    </row>
    <row r="219">
      <c r="A219" s="4" t="inlineStr">
        <is>
          <t>BW-0993</t>
        </is>
      </c>
      <c r="B219" s="21" t="inlineStr">
        <is>
          <t>Tank support bracket</t>
        </is>
      </c>
      <c r="C219" s="21" t="inlineStr">
        <is>
          <t>BOX 20</t>
        </is>
      </c>
      <c r="D219" s="21" t="inlineStr"/>
      <c r="E219" s="21" t="inlineStr"/>
      <c r="F219" s="22" t="n"/>
      <c r="G219" s="22" t="n"/>
      <c r="H219" s="23" t="inlineStr">
        <is>
          <t>Absente de la base 2022</t>
        </is>
      </c>
    </row>
    <row r="220">
      <c r="A220" s="4" t="inlineStr">
        <is>
          <t>BW-0994</t>
        </is>
      </c>
      <c r="B220" s="21" t="inlineStr">
        <is>
          <t>Outer casing / cabinet, black</t>
        </is>
      </c>
      <c r="C220" s="21" t="inlineStr">
        <is>
          <t>BOX 20</t>
        </is>
      </c>
      <c r="D220" s="21" t="inlineStr"/>
      <c r="E220" s="21" t="inlineStr"/>
      <c r="F220" s="22" t="n"/>
      <c r="G220" s="22" t="n"/>
      <c r="H220" s="23" t="inlineStr">
        <is>
          <t>Absente de la base 2022</t>
        </is>
      </c>
    </row>
    <row r="221">
      <c r="A221" s="4" t="inlineStr">
        <is>
          <t>BW-0995</t>
        </is>
      </c>
      <c r="B221" s="21" t="inlineStr">
        <is>
          <t>Base frame</t>
        </is>
      </c>
      <c r="C221" s="21" t="inlineStr">
        <is>
          <t>BOX 20</t>
        </is>
      </c>
      <c r="D221" s="21" t="inlineStr"/>
      <c r="E221" s="21" t="inlineStr"/>
      <c r="F221" s="22" t="n"/>
      <c r="G221" s="22" t="n"/>
      <c r="H221" s="23" t="inlineStr">
        <is>
          <t>Absente de la base 2022</t>
        </is>
      </c>
    </row>
    <row r="222">
      <c r="A222" s="4" t="inlineStr">
        <is>
          <t>BW-0996</t>
        </is>
      </c>
      <c r="B222" s="21" t="inlineStr">
        <is>
          <t>Pump bracket</t>
        </is>
      </c>
      <c r="C222" s="21" t="inlineStr">
        <is>
          <t>BOX 20</t>
        </is>
      </c>
      <c r="D222" s="21" t="inlineStr"/>
      <c r="E222" s="21" t="inlineStr"/>
      <c r="F222" s="22" t="n"/>
      <c r="G222" s="22" t="n"/>
      <c r="H222" s="23" t="inlineStr">
        <is>
          <t>Absente de la base 2022</t>
        </is>
      </c>
    </row>
    <row r="223">
      <c r="A223" s="4" t="inlineStr">
        <is>
          <t>BW-0997</t>
        </is>
      </c>
      <c r="B223" s="21" t="inlineStr">
        <is>
          <t>Tank insulation</t>
        </is>
      </c>
      <c r="C223" s="21" t="inlineStr">
        <is>
          <t>BOX 20</t>
        </is>
      </c>
      <c r="D223" s="21" t="inlineStr"/>
      <c r="E223" s="21" t="inlineStr"/>
      <c r="F223" s="22" t="n"/>
      <c r="G223" s="22" t="n"/>
      <c r="H223" s="23" t="inlineStr">
        <is>
          <t>Absente de la base 2022</t>
        </is>
      </c>
    </row>
    <row r="224">
      <c r="A224" s="4" t="inlineStr">
        <is>
          <t>BW-0998</t>
        </is>
      </c>
      <c r="B224" s="21" t="inlineStr">
        <is>
          <t>Compressor LG TS36NATG (R600a)</t>
        </is>
      </c>
      <c r="C224" s="21" t="inlineStr">
        <is>
          <t>BOX 20</t>
        </is>
      </c>
      <c r="D224" s="21" t="inlineStr"/>
      <c r="E224" s="21" t="inlineStr"/>
      <c r="F224" s="22" t="n"/>
      <c r="G224" s="22" t="n"/>
      <c r="H224" s="23" t="inlineStr">
        <is>
          <t>Absente de la base 2022</t>
        </is>
      </c>
    </row>
    <row r="225">
      <c r="A225" s="4" t="inlineStr">
        <is>
          <t>BW-0999</t>
        </is>
      </c>
      <c r="B225" s="21" t="inlineStr">
        <is>
          <t>Carbonator control board + time-out (level I)</t>
        </is>
      </c>
      <c r="C225" s="21" t="inlineStr">
        <is>
          <t>BOX 20; BOX 80 I</t>
        </is>
      </c>
      <c r="D225" s="21" t="inlineStr"/>
      <c r="E225" s="21" t="inlineStr"/>
      <c r="F225" s="22" t="n"/>
      <c r="G225" s="22" t="n"/>
      <c r="H225" s="23" t="inlineStr">
        <is>
          <t>Absente de la base 2022</t>
        </is>
      </c>
    </row>
    <row r="226">
      <c r="A226" s="4" t="inlineStr">
        <is>
          <t>BW-1000</t>
        </is>
      </c>
      <c r="B226" s="21" t="inlineStr">
        <is>
          <t>Primary wiring harness</t>
        </is>
      </c>
      <c r="C226" s="21" t="inlineStr">
        <is>
          <t>BOX 20</t>
        </is>
      </c>
      <c r="D226" s="21" t="inlineStr"/>
      <c r="E226" s="21" t="inlineStr"/>
      <c r="F226" s="22" t="n"/>
      <c r="G226" s="22" t="n"/>
      <c r="H226" s="23" t="inlineStr">
        <is>
          <t>Absente de la base 2022</t>
        </is>
      </c>
    </row>
    <row r="227">
      <c r="A227" s="4" t="inlineStr">
        <is>
          <t>BW-1001</t>
        </is>
      </c>
      <c r="B227" s="21" t="inlineStr">
        <is>
          <t>Front panel</t>
        </is>
      </c>
      <c r="C227" s="21" t="inlineStr">
        <is>
          <t>BOX 20</t>
        </is>
      </c>
      <c r="D227" s="21" t="inlineStr"/>
      <c r="E227" s="21" t="inlineStr"/>
      <c r="F227" s="22" t="n"/>
      <c r="G227" s="22" t="n"/>
      <c r="H227" s="23" t="inlineStr">
        <is>
          <t>Absente de la base 2022</t>
        </is>
      </c>
    </row>
    <row r="228">
      <c r="A228" s="4" t="inlineStr">
        <is>
          <t>BW-1002</t>
        </is>
      </c>
      <c r="B228" s="21" t="inlineStr">
        <is>
          <t>Wiring harness</t>
        </is>
      </c>
      <c r="C228" s="21" t="inlineStr">
        <is>
          <t>BOX 20</t>
        </is>
      </c>
      <c r="D228" s="21" t="inlineStr"/>
      <c r="E228" s="21" t="inlineStr"/>
      <c r="F228" s="22" t="n"/>
      <c r="G228" s="22" t="n"/>
      <c r="H228" s="23" t="inlineStr">
        <is>
          <t>Absente de la base 2022</t>
        </is>
      </c>
    </row>
    <row r="229">
      <c r="A229" s="4" t="inlineStr">
        <is>
          <t>BW-1003</t>
        </is>
      </c>
      <c r="B229" s="21" t="inlineStr">
        <is>
          <t>Booster pump</t>
        </is>
      </c>
      <c r="C229" s="21" t="inlineStr">
        <is>
          <t>BOX 20</t>
        </is>
      </c>
      <c r="D229" s="21" t="inlineStr"/>
      <c r="E229" s="21" t="inlineStr"/>
      <c r="F229" s="22" t="n"/>
      <c r="G229" s="22" t="n"/>
      <c r="H229" s="23" t="inlineStr">
        <is>
          <t>Absente de la base 2022</t>
        </is>
      </c>
    </row>
    <row r="230">
      <c r="A230" s="4" t="inlineStr">
        <is>
          <t>BW-1004</t>
        </is>
      </c>
      <c r="B230" s="21" t="inlineStr">
        <is>
          <t>Expansion compensator, tube Ø8</t>
        </is>
      </c>
      <c r="C230" s="21" t="inlineStr">
        <is>
          <t>BOX 20; BOX 80 I; BOX 120 I</t>
        </is>
      </c>
      <c r="D230" s="21" t="inlineStr"/>
      <c r="E230" s="21" t="inlineStr"/>
      <c r="F230" s="22" t="n"/>
      <c r="G230" s="22" t="n"/>
      <c r="H230" s="23" t="inlineStr">
        <is>
          <t>Absente de la base 2022</t>
        </is>
      </c>
    </row>
    <row r="231">
      <c r="A231" s="4" t="inlineStr">
        <is>
          <t>BW-1005</t>
        </is>
      </c>
      <c r="B231" s="21" t="inlineStr">
        <is>
          <t>Rubber cable grommet</t>
        </is>
      </c>
      <c r="C231" s="21" t="inlineStr">
        <is>
          <t>BOX 20</t>
        </is>
      </c>
      <c r="D231" s="21" t="inlineStr"/>
      <c r="E231" s="21" t="inlineStr"/>
      <c r="F231" s="22" t="n"/>
      <c r="G231" s="22" t="n"/>
      <c r="H231" s="23" t="inlineStr">
        <is>
          <t>Absente de la base 2022</t>
        </is>
      </c>
    </row>
    <row r="232">
      <c r="A232" s="4" t="inlineStr">
        <is>
          <t>BW-1006</t>
        </is>
      </c>
      <c r="B232" s="21" t="inlineStr">
        <is>
          <t>End plug, Ø6 Lokring</t>
        </is>
      </c>
      <c r="C232" s="21" t="inlineStr">
        <is>
          <t>BOX 20</t>
        </is>
      </c>
      <c r="D232" s="21" t="inlineStr"/>
      <c r="E232" s="21" t="inlineStr"/>
      <c r="F232" s="22" t="n"/>
      <c r="G232" s="22" t="n"/>
      <c r="H232" s="23" t="inlineStr">
        <is>
          <t>Absente de la base 2022</t>
        </is>
      </c>
    </row>
    <row r="233">
      <c r="A233" s="4" t="inlineStr">
        <is>
          <t>BW-1007</t>
        </is>
      </c>
      <c r="B233" s="21" t="inlineStr">
        <is>
          <t>Label/sticker kit, chiller-carbonator (2 undercounter +)</t>
        </is>
      </c>
      <c r="C233" s="21" t="inlineStr">
        <is>
          <t>BOX 20</t>
        </is>
      </c>
      <c r="D233" s="21" t="inlineStr"/>
      <c r="E233" s="21" t="inlineStr"/>
      <c r="F233" s="22" t="n"/>
      <c r="G233" s="22" t="n"/>
      <c r="H233" s="23" t="inlineStr">
        <is>
          <t>Absente de la base 2022</t>
        </is>
      </c>
    </row>
    <row r="234">
      <c r="A234" s="4" t="inlineStr">
        <is>
          <t>BW-1008</t>
        </is>
      </c>
      <c r="B234" s="21" t="inlineStr">
        <is>
          <t>Refrigerant gas R600a</t>
        </is>
      </c>
      <c r="C234" s="21" t="inlineStr">
        <is>
          <t>BOX 20</t>
        </is>
      </c>
      <c r="D234" s="21" t="inlineStr"/>
      <c r="E234" s="21" t="inlineStr"/>
      <c r="F234" s="22" t="n"/>
      <c r="G234" s="22" t="n"/>
      <c r="H234" s="23" t="inlineStr">
        <is>
          <t>Absente de la base 2022</t>
        </is>
      </c>
    </row>
    <row r="235">
      <c r="A235" s="4" t="inlineStr">
        <is>
          <t>BW-1009</t>
        </is>
      </c>
      <c r="B235" s="21" t="inlineStr">
        <is>
          <t>Aluminium rivet 4x10</t>
        </is>
      </c>
      <c r="C235" s="21" t="inlineStr">
        <is>
          <t>BOX 20</t>
        </is>
      </c>
      <c r="D235" s="21" t="inlineStr"/>
      <c r="E235" s="21" t="inlineStr"/>
      <c r="F235" s="22" t="n"/>
      <c r="G235" s="22" t="n"/>
      <c r="H235" s="23" t="inlineStr">
        <is>
          <t>Absente de la base 2022</t>
        </is>
      </c>
    </row>
    <row r="236">
      <c r="A236" s="4" t="inlineStr">
        <is>
          <t>BW-1010</t>
        </is>
      </c>
      <c r="B236" s="21" t="inlineStr">
        <is>
          <t>Nylon bag 55+20+20x1</t>
        </is>
      </c>
      <c r="C236" s="21" t="inlineStr">
        <is>
          <t>BOX 20; BOX 80 I; BOX 120 I</t>
        </is>
      </c>
      <c r="D236" s="21" t="inlineStr"/>
      <c r="E236" s="21" t="inlineStr"/>
      <c r="F236" s="22" t="n"/>
      <c r="G236" s="22" t="n"/>
      <c r="H236" s="23" t="inlineStr">
        <is>
          <t>Absente de la base 2022</t>
        </is>
      </c>
    </row>
    <row r="237">
      <c r="A237" s="4" t="inlineStr">
        <is>
          <t>BW-1011</t>
        </is>
      </c>
      <c r="B237" s="21" t="inlineStr">
        <is>
          <t>Packaging - tray</t>
        </is>
      </c>
      <c r="C237" s="21" t="inlineStr">
        <is>
          <t>BOX 20</t>
        </is>
      </c>
      <c r="D237" s="21" t="inlineStr"/>
      <c r="E237" s="21" t="inlineStr"/>
      <c r="F237" s="22" t="n"/>
      <c r="G237" s="22" t="n"/>
      <c r="H237" s="23" t="inlineStr">
        <is>
          <t>Absente de la base 2022</t>
        </is>
      </c>
    </row>
    <row r="238">
      <c r="A238" s="4" t="inlineStr">
        <is>
          <t>BW-1012</t>
        </is>
      </c>
      <c r="B238" s="21" t="inlineStr">
        <is>
          <t>Faston male terminal cover</t>
        </is>
      </c>
      <c r="C238" s="21" t="inlineStr">
        <is>
          <t>BOX 20</t>
        </is>
      </c>
      <c r="D238" s="21" t="inlineStr"/>
      <c r="E238" s="21" t="inlineStr"/>
      <c r="F238" s="22" t="n"/>
      <c r="G238" s="22" t="n"/>
      <c r="H238" s="23" t="inlineStr">
        <is>
          <t>Absente de la base 2022</t>
        </is>
      </c>
    </row>
    <row r="239">
      <c r="A239" s="4" t="inlineStr">
        <is>
          <t>BW-1013</t>
        </is>
      </c>
      <c r="B239" s="21" t="inlineStr">
        <is>
          <t>Faston male terminal</t>
        </is>
      </c>
      <c r="C239" s="21" t="inlineStr">
        <is>
          <t>BOX 20</t>
        </is>
      </c>
      <c r="D239" s="21" t="inlineStr"/>
      <c r="E239" s="21" t="inlineStr"/>
      <c r="F239" s="22" t="n"/>
      <c r="G239" s="22" t="n"/>
      <c r="H239" s="23" t="inlineStr">
        <is>
          <t>Absente de la base 2022</t>
        </is>
      </c>
    </row>
    <row r="240">
      <c r="A240" s="4" t="inlineStr">
        <is>
          <t>BW-1014</t>
        </is>
      </c>
      <c r="B240" s="21" t="inlineStr">
        <is>
          <t>Time-delay fuse 3.15 A</t>
        </is>
      </c>
      <c r="C240" s="21" t="inlineStr">
        <is>
          <t>BOX 20</t>
        </is>
      </c>
      <c r="D240" s="21" t="inlineStr"/>
      <c r="E240" s="21" t="inlineStr"/>
      <c r="F240" s="22" t="n"/>
      <c r="G240" s="22" t="n"/>
      <c r="H240" s="23" t="inlineStr">
        <is>
          <t>Absente de la base 2022</t>
        </is>
      </c>
    </row>
    <row r="241">
      <c r="A241" s="4" t="inlineStr">
        <is>
          <t>BW-1015</t>
        </is>
      </c>
      <c r="B241" s="21" t="inlineStr">
        <is>
          <t>Power inlet socket with fuse</t>
        </is>
      </c>
      <c r="C241" s="21" t="inlineStr">
        <is>
          <t>BOX 20; BOX 80 I; BOX 120 I</t>
        </is>
      </c>
      <c r="D241" s="21" t="inlineStr"/>
      <c r="E241" s="21" t="inlineStr"/>
      <c r="F241" s="22" t="n"/>
      <c r="G241" s="22" t="n"/>
      <c r="H241" s="23" t="inlineStr">
        <is>
          <t>Absente de la base 2022</t>
        </is>
      </c>
    </row>
    <row r="242">
      <c r="A242" s="4" t="inlineStr">
        <is>
          <t>BW-1016</t>
        </is>
      </c>
      <c r="B242" s="21" t="inlineStr">
        <is>
          <t>Power supply cord (unit standard equipment)</t>
        </is>
      </c>
      <c r="C242" s="21" t="inlineStr">
        <is>
          <t>BOX 20; BOX 80 I; BOX 120 I</t>
        </is>
      </c>
      <c r="D242" s="21" t="inlineStr"/>
      <c r="E242" s="21" t="inlineStr"/>
      <c r="F242" s="22" t="n"/>
      <c r="G242" s="22" t="n"/>
      <c r="H242" s="23" t="inlineStr">
        <is>
          <t>Absente de la base 2022</t>
        </is>
      </c>
    </row>
    <row r="243">
      <c r="A243" s="4" t="inlineStr">
        <is>
          <t>BW-1017</t>
        </is>
      </c>
      <c r="B243" s="21" t="inlineStr">
        <is>
          <t>Carbonator sensor/probe cable</t>
        </is>
      </c>
      <c r="C243" s="21" t="inlineStr">
        <is>
          <t>BOX 20</t>
        </is>
      </c>
      <c r="D243" s="21" t="inlineStr"/>
      <c r="E243" s="21" t="inlineStr"/>
      <c r="F243" s="22" t="n"/>
      <c r="G243" s="22" t="n"/>
      <c r="H243" s="23" t="inlineStr">
        <is>
          <t>Absente de la base 2022</t>
        </is>
      </c>
    </row>
    <row r="244">
      <c r="A244" s="4" t="inlineStr">
        <is>
          <t>BW-1018</t>
        </is>
      </c>
      <c r="B244" s="21" t="inlineStr">
        <is>
          <t>Aluminium anti-condensation tape, H75</t>
        </is>
      </c>
      <c r="C244" s="21" t="inlineStr">
        <is>
          <t>BOX 20</t>
        </is>
      </c>
      <c r="D244" s="21" t="inlineStr"/>
      <c r="E244" s="21" t="inlineStr"/>
      <c r="F244" s="22" t="n"/>
      <c r="G244" s="22" t="n"/>
      <c r="H244" s="23" t="inlineStr">
        <is>
          <t>Absente de la base 2022</t>
        </is>
      </c>
    </row>
    <row r="245">
      <c r="A245" s="4" t="inlineStr">
        <is>
          <t>BW-1019</t>
        </is>
      </c>
      <c r="B245" s="21" t="inlineStr">
        <is>
          <t>Anti-vibration pad, compressor</t>
        </is>
      </c>
      <c r="C245" s="21" t="inlineStr">
        <is>
          <t>BOX 20; BOX 80 I; BOX 120 I</t>
        </is>
      </c>
      <c r="D245" s="21" t="inlineStr"/>
      <c r="E245" s="21" t="inlineStr"/>
      <c r="F245" s="22" t="n"/>
      <c r="G245" s="22" t="n"/>
      <c r="H245" s="23" t="inlineStr">
        <is>
          <t>Absente de la base 2022</t>
        </is>
      </c>
    </row>
    <row r="246">
      <c r="A246" s="4" t="inlineStr">
        <is>
          <t>BW-1020</t>
        </is>
      </c>
      <c r="B246" s="21" t="inlineStr">
        <is>
          <t>Foot, black 8mm</t>
        </is>
      </c>
      <c r="C246" s="21" t="inlineStr">
        <is>
          <t>BOX 20</t>
        </is>
      </c>
      <c r="D246" s="21" t="inlineStr"/>
      <c r="E246" s="21" t="inlineStr"/>
      <c r="F246" s="22" t="n"/>
      <c r="G246" s="22" t="n"/>
      <c r="H246" s="23" t="inlineStr">
        <is>
          <t>Absente de la base 2022</t>
        </is>
      </c>
    </row>
    <row r="247">
      <c r="A247" s="4" t="inlineStr">
        <is>
          <t>BW-1021</t>
        </is>
      </c>
      <c r="B247" s="21" t="inlineStr">
        <is>
          <t>Sheet metal 8/10 (0.8mm), black, 1250x2195</t>
        </is>
      </c>
      <c r="C247" s="21" t="inlineStr">
        <is>
          <t>BOX 20</t>
        </is>
      </c>
      <c r="D247" s="21" t="inlineStr"/>
      <c r="E247" s="21" t="inlineStr"/>
      <c r="F247" s="22" t="n"/>
      <c r="G247" s="22" t="n"/>
      <c r="H247" s="23" t="inlineStr">
        <is>
          <t>Absente de la base 2022</t>
        </is>
      </c>
    </row>
    <row r="248">
      <c r="A248" s="4" t="inlineStr">
        <is>
          <t>BW-1022</t>
        </is>
      </c>
      <c r="B248" s="21" t="inlineStr">
        <is>
          <t>Filter drier, complete</t>
        </is>
      </c>
      <c r="C248" s="21" t="inlineStr">
        <is>
          <t>BOX 20</t>
        </is>
      </c>
      <c r="D248" s="21" t="inlineStr"/>
      <c r="E248" s="21" t="inlineStr"/>
      <c r="F248" s="22" t="n"/>
      <c r="G248" s="22" t="n"/>
      <c r="H248" s="23" t="inlineStr">
        <is>
          <t>Absente de la base 2022</t>
        </is>
      </c>
    </row>
    <row r="249">
      <c r="A249" s="4" t="inlineStr">
        <is>
          <t>BW-1023</t>
        </is>
      </c>
      <c r="B249" s="21" t="inlineStr">
        <is>
          <t>Brazed charging valve</t>
        </is>
      </c>
      <c r="C249" s="21" t="inlineStr">
        <is>
          <t>BOX 20; BOX 80 I; BOX 120 I</t>
        </is>
      </c>
      <c r="D249" s="21" t="inlineStr"/>
      <c r="E249" s="21" t="inlineStr"/>
      <c r="F249" s="22" t="n"/>
      <c r="G249" s="22" t="n"/>
      <c r="H249" s="23" t="inlineStr">
        <is>
          <t>Absente de la base 2022</t>
        </is>
      </c>
    </row>
    <row r="250">
      <c r="A250" s="4" t="inlineStr">
        <is>
          <t>BW-1024</t>
        </is>
      </c>
      <c r="B250" s="21" t="inlineStr">
        <is>
          <t>Packaging - cap</t>
        </is>
      </c>
      <c r="C250" s="21" t="inlineStr">
        <is>
          <t>BOX 20</t>
        </is>
      </c>
      <c r="D250" s="21" t="inlineStr"/>
      <c r="E250" s="21" t="inlineStr"/>
      <c r="F250" s="22" t="n"/>
      <c r="G250" s="22" t="n"/>
      <c r="H250" s="23" t="inlineStr">
        <is>
          <t>Absente de la base 2022</t>
        </is>
      </c>
    </row>
    <row r="251">
      <c r="A251" s="4" t="inlineStr">
        <is>
          <t>BW-1025</t>
        </is>
      </c>
      <c r="B251" s="21" t="inlineStr">
        <is>
          <t>Condenser</t>
        </is>
      </c>
      <c r="C251" s="21" t="inlineStr">
        <is>
          <t>BOX 80 I</t>
        </is>
      </c>
      <c r="D251" s="21" t="inlineStr"/>
      <c r="E251" s="21" t="inlineStr"/>
      <c r="F251" s="22" t="n"/>
      <c r="G251" s="22" t="n"/>
      <c r="H251" s="23" t="inlineStr">
        <is>
          <t>Absente de la base 2022</t>
        </is>
      </c>
    </row>
    <row r="252">
      <c r="A252" s="4" t="inlineStr">
        <is>
          <t>BW-1026</t>
        </is>
      </c>
      <c r="B252" s="21" t="inlineStr">
        <is>
          <t>Fan 119x119x38</t>
        </is>
      </c>
      <c r="C252" s="21" t="inlineStr">
        <is>
          <t>BOX 80 I; BOX 120 I</t>
        </is>
      </c>
      <c r="D252" s="21" t="inlineStr"/>
      <c r="E252" s="21" t="inlineStr"/>
      <c r="F252" s="22" t="n"/>
      <c r="G252" s="22" t="n"/>
      <c r="H252" s="23" t="inlineStr">
        <is>
          <t>Absente de la base 2022</t>
        </is>
      </c>
    </row>
    <row r="253">
      <c r="A253" s="4" t="inlineStr">
        <is>
          <t>BW-1027</t>
        </is>
      </c>
      <c r="B253" s="21" t="inlineStr">
        <is>
          <t>Motor Sisme Plus</t>
        </is>
      </c>
      <c r="C253" s="21" t="inlineStr">
        <is>
          <t>BOX 80 I; BOX 120 I</t>
        </is>
      </c>
      <c r="D253" s="21" t="inlineStr"/>
      <c r="E253" s="21" t="inlineStr"/>
      <c r="F253" s="22" t="n"/>
      <c r="G253" s="22" t="n"/>
      <c r="H253" s="23" t="inlineStr">
        <is>
          <t>Absente de la base 2022</t>
        </is>
      </c>
    </row>
    <row r="254">
      <c r="A254" s="4" t="inlineStr">
        <is>
          <t>BW-1028</t>
        </is>
      </c>
      <c r="B254" s="21" t="inlineStr">
        <is>
          <t>Pump 150 L/h</t>
        </is>
      </c>
      <c r="C254" s="21" t="inlineStr">
        <is>
          <t>BOX 80 I</t>
        </is>
      </c>
      <c r="D254" s="21" t="inlineStr"/>
      <c r="E254" s="21" t="inlineStr"/>
      <c r="F254" s="22" t="n"/>
      <c r="G254" s="22" t="n"/>
      <c r="H254" s="23" t="inlineStr">
        <is>
          <t>Absente de la base 2022</t>
        </is>
      </c>
    </row>
    <row r="255">
      <c r="A255" s="4" t="inlineStr">
        <is>
          <t>BW-1029</t>
        </is>
      </c>
      <c r="B255" s="21" t="inlineStr">
        <is>
          <t>Filter drier, complete</t>
        </is>
      </c>
      <c r="C255" s="21" t="inlineStr">
        <is>
          <t>BOX 80 I; BOX 120 I</t>
        </is>
      </c>
      <c r="D255" s="21" t="inlineStr"/>
      <c r="E255" s="21" t="inlineStr"/>
      <c r="F255" s="22" t="n"/>
      <c r="G255" s="22" t="n"/>
      <c r="H255" s="23" t="inlineStr">
        <is>
          <t>Absente de la base 2022</t>
        </is>
      </c>
    </row>
    <row r="256">
      <c r="A256" s="4" t="inlineStr">
        <is>
          <t>BW-1030</t>
        </is>
      </c>
      <c r="B256" s="21" t="inlineStr">
        <is>
          <t>Carbonator</t>
        </is>
      </c>
      <c r="C256" s="21" t="inlineStr">
        <is>
          <t>BOX 80 I</t>
        </is>
      </c>
      <c r="D256" s="21" t="inlineStr"/>
      <c r="E256" s="21" t="inlineStr"/>
      <c r="F256" s="22" t="n"/>
      <c r="G256" s="22" t="n"/>
      <c r="H256" s="23" t="inlineStr">
        <is>
          <t>Absente de la base 2022</t>
        </is>
      </c>
    </row>
    <row r="257">
      <c r="A257" s="4" t="inlineStr">
        <is>
          <t>BW-1031</t>
        </is>
      </c>
      <c r="B257" s="21" t="inlineStr">
        <is>
          <t>Agitator / stirrer MIR B 4L</t>
        </is>
      </c>
      <c r="C257" s="21" t="inlineStr">
        <is>
          <t>BOX 120 I</t>
        </is>
      </c>
      <c r="D257" s="21" t="inlineStr"/>
      <c r="E257" s="21" t="inlineStr"/>
      <c r="F257" s="22" t="n"/>
      <c r="G257" s="22" t="n"/>
      <c r="H257" s="23" t="inlineStr">
        <is>
          <t>Absente de la base 2022</t>
        </is>
      </c>
    </row>
    <row r="258">
      <c r="A258" s="4" t="inlineStr">
        <is>
          <t>BW-1032</t>
        </is>
      </c>
      <c r="B258" s="21" t="inlineStr">
        <is>
          <t>Agitator / stirrer MIR A</t>
        </is>
      </c>
      <c r="C258" s="21" t="inlineStr">
        <is>
          <t>BOX 80 I</t>
        </is>
      </c>
      <c r="D258" s="21" t="inlineStr"/>
      <c r="E258" s="21" t="inlineStr"/>
      <c r="F258" s="22" t="n"/>
      <c r="G258" s="22" t="n"/>
      <c r="H258" s="23" t="inlineStr">
        <is>
          <t>Absente de la base 2022</t>
        </is>
      </c>
    </row>
    <row r="259">
      <c r="A259" s="4" t="inlineStr">
        <is>
          <t>BW-1033</t>
        </is>
      </c>
      <c r="B259" s="21" t="inlineStr">
        <is>
          <t>Agitator bracket</t>
        </is>
      </c>
      <c r="C259" s="21" t="inlineStr">
        <is>
          <t>BOX 80 I</t>
        </is>
      </c>
      <c r="D259" s="21" t="inlineStr"/>
      <c r="E259" s="21" t="inlineStr"/>
      <c r="F259" s="22" t="n"/>
      <c r="G259" s="22" t="n"/>
      <c r="H259" s="23" t="inlineStr">
        <is>
          <t>Absente de la base 2022</t>
        </is>
      </c>
    </row>
    <row r="260">
      <c r="A260" s="4" t="inlineStr">
        <is>
          <t>BW-1034</t>
        </is>
      </c>
      <c r="B260" s="21" t="inlineStr">
        <is>
          <t>Electronic-board bracket</t>
        </is>
      </c>
      <c r="C260" s="21" t="inlineStr">
        <is>
          <t>BOX 80 I; BOX 120 I</t>
        </is>
      </c>
      <c r="D260" s="21" t="inlineStr"/>
      <c r="E260" s="21" t="inlineStr"/>
      <c r="F260" s="22" t="n"/>
      <c r="G260" s="22" t="n"/>
      <c r="H260" s="23" t="inlineStr">
        <is>
          <t>Absente de la base 2022</t>
        </is>
      </c>
    </row>
    <row r="261">
      <c r="A261" s="4" t="inlineStr">
        <is>
          <t>BW-1035</t>
        </is>
      </c>
      <c r="B261" s="21" t="inlineStr">
        <is>
          <t>Thermostat Ranco K50-H2005/001</t>
        </is>
      </c>
      <c r="C261" s="21" t="inlineStr">
        <is>
          <t>BOX 80 I; BOX 120 I</t>
        </is>
      </c>
      <c r="D261" s="21" t="inlineStr"/>
      <c r="E261" s="21" t="inlineStr"/>
      <c r="F261" s="22" t="n"/>
      <c r="G261" s="22" t="n"/>
      <c r="H261" s="23" t="inlineStr">
        <is>
          <t>Absente de la base 2022</t>
        </is>
      </c>
    </row>
    <row r="262">
      <c r="A262" s="4" t="inlineStr">
        <is>
          <t>BW-1036</t>
        </is>
      </c>
      <c r="B262" s="21" t="inlineStr">
        <is>
          <t>Tank, complete</t>
        </is>
      </c>
      <c r="C262" s="21" t="inlineStr">
        <is>
          <t>BOX 80 I</t>
        </is>
      </c>
      <c r="D262" s="21" t="inlineStr"/>
      <c r="E262" s="21" t="inlineStr"/>
      <c r="F262" s="22" t="n"/>
      <c r="G262" s="22" t="n"/>
      <c r="H262" s="23" t="inlineStr">
        <is>
          <t>Absente de la base 2022</t>
        </is>
      </c>
    </row>
    <row r="263">
      <c r="A263" s="4" t="inlineStr">
        <is>
          <t>BW-1037</t>
        </is>
      </c>
      <c r="B263" s="21" t="inlineStr">
        <is>
          <t>Stainless-steel base</t>
        </is>
      </c>
      <c r="C263" s="21" t="inlineStr">
        <is>
          <t>BOX 80 I</t>
        </is>
      </c>
      <c r="D263" s="21" t="inlineStr"/>
      <c r="E263" s="21" t="inlineStr"/>
      <c r="F263" s="22" t="n"/>
      <c r="G263" s="22" t="n"/>
      <c r="H263" s="23" t="inlineStr">
        <is>
          <t>Absente de la base 2022</t>
        </is>
      </c>
    </row>
    <row r="264">
      <c r="A264" s="4" t="inlineStr">
        <is>
          <t>BW-1038</t>
        </is>
      </c>
      <c r="B264" s="21" t="inlineStr">
        <is>
          <t>Stainless-steel top cover / lid</t>
        </is>
      </c>
      <c r="C264" s="21" t="inlineStr">
        <is>
          <t>BOX 80 I</t>
        </is>
      </c>
      <c r="D264" s="21" t="inlineStr"/>
      <c r="E264" s="21" t="inlineStr"/>
      <c r="F264" s="22" t="n"/>
      <c r="G264" s="22" t="n"/>
      <c r="H264" s="23" t="inlineStr">
        <is>
          <t>Absente de la base 2022</t>
        </is>
      </c>
    </row>
    <row r="265">
      <c r="A265" s="4" t="inlineStr">
        <is>
          <t>BW-1039</t>
        </is>
      </c>
      <c r="B265" s="21" t="inlineStr">
        <is>
          <t>Stainless-steel side panel, right</t>
        </is>
      </c>
      <c r="C265" s="21" t="inlineStr">
        <is>
          <t>BOX 80 I</t>
        </is>
      </c>
      <c r="D265" s="21" t="inlineStr"/>
      <c r="E265" s="21" t="inlineStr"/>
      <c r="F265" s="22" t="n"/>
      <c r="G265" s="22" t="n"/>
      <c r="H265" s="23" t="inlineStr">
        <is>
          <t>Absente de la base 2022</t>
        </is>
      </c>
    </row>
    <row r="266">
      <c r="A266" s="4" t="inlineStr">
        <is>
          <t>BW-1040</t>
        </is>
      </c>
      <c r="B266" s="21" t="inlineStr">
        <is>
          <t>Stainless-steel side panel, left</t>
        </is>
      </c>
      <c r="C266" s="21" t="inlineStr">
        <is>
          <t>BOX 80 I</t>
        </is>
      </c>
      <c r="D266" s="21" t="inlineStr"/>
      <c r="E266" s="21" t="inlineStr"/>
      <c r="F266" s="22" t="n"/>
      <c r="G266" s="22" t="n"/>
      <c r="H266" s="23" t="inlineStr">
        <is>
          <t>Absente de la base 2022</t>
        </is>
      </c>
    </row>
    <row r="267">
      <c r="A267" s="4" t="inlineStr">
        <is>
          <t>BW-1041</t>
        </is>
      </c>
      <c r="B267" s="21" t="inlineStr">
        <is>
          <t>Motor bracket</t>
        </is>
      </c>
      <c r="C267" s="21" t="inlineStr">
        <is>
          <t>BOX 80 I</t>
        </is>
      </c>
      <c r="D267" s="21" t="inlineStr"/>
      <c r="E267" s="21" t="inlineStr"/>
      <c r="F267" s="22" t="n"/>
      <c r="G267" s="22" t="n"/>
      <c r="H267" s="23" t="inlineStr">
        <is>
          <t>Absente de la base 2022</t>
        </is>
      </c>
    </row>
    <row r="268">
      <c r="A268" s="4" t="inlineStr">
        <is>
          <t>BW-1042</t>
        </is>
      </c>
      <c r="B268" s="21" t="inlineStr">
        <is>
          <t>Wiring harness</t>
        </is>
      </c>
      <c r="C268" s="21" t="inlineStr">
        <is>
          <t>BOX 80 I; BOX 120 I</t>
        </is>
      </c>
      <c r="D268" s="21" t="inlineStr"/>
      <c r="E268" s="21" t="inlineStr"/>
      <c r="F268" s="22" t="n"/>
      <c r="G268" s="22" t="n"/>
      <c r="H268" s="23" t="inlineStr">
        <is>
          <t>Absente de la base 2022</t>
        </is>
      </c>
    </row>
    <row r="269">
      <c r="A269" s="4" t="inlineStr">
        <is>
          <t>BW-1043</t>
        </is>
      </c>
      <c r="B269" s="21" t="inlineStr">
        <is>
          <t>Evaporator, complete</t>
        </is>
      </c>
      <c r="C269" s="21" t="inlineStr">
        <is>
          <t>BOX 80 I</t>
        </is>
      </c>
      <c r="D269" s="21" t="inlineStr"/>
      <c r="E269" s="21" t="inlineStr"/>
      <c r="F269" s="22" t="n"/>
      <c r="G269" s="22" t="n"/>
      <c r="H269" s="23" t="inlineStr">
        <is>
          <t>Absente de la base 2022</t>
        </is>
      </c>
    </row>
    <row r="270">
      <c r="A270" s="4" t="inlineStr">
        <is>
          <t>BW-1044</t>
        </is>
      </c>
      <c r="B270" s="21" t="inlineStr">
        <is>
          <t>Earth / ground wiring harness</t>
        </is>
      </c>
      <c r="C270" s="21" t="inlineStr">
        <is>
          <t>BOX 80 I; BOX 120 I</t>
        </is>
      </c>
      <c r="D270" s="21" t="inlineStr"/>
      <c r="E270" s="21" t="inlineStr"/>
      <c r="F270" s="22" t="n"/>
      <c r="G270" s="22" t="n"/>
      <c r="H270" s="23" t="inlineStr">
        <is>
          <t>Absente de la base 2022</t>
        </is>
      </c>
    </row>
    <row r="271">
      <c r="A271" s="4" t="inlineStr">
        <is>
          <t>BW-1045</t>
        </is>
      </c>
      <c r="B271" s="21" t="inlineStr">
        <is>
          <t>Cooling coil, complete</t>
        </is>
      </c>
      <c r="C271" s="21" t="inlineStr">
        <is>
          <t>BOX 80 I</t>
        </is>
      </c>
      <c r="D271" s="21" t="inlineStr"/>
      <c r="E271" s="21" t="inlineStr"/>
      <c r="F271" s="22" t="n"/>
      <c r="G271" s="22" t="n"/>
      <c r="H271" s="23" t="inlineStr">
        <is>
          <t>Absente de la base 2022</t>
        </is>
      </c>
    </row>
    <row r="272">
      <c r="A272" s="4" t="inlineStr">
        <is>
          <t>BW-1046</t>
        </is>
      </c>
      <c r="B272" s="21" t="inlineStr">
        <is>
          <t>Coil spacer</t>
        </is>
      </c>
      <c r="C272" s="21" t="inlineStr">
        <is>
          <t>BOX 80 I; BOX 120 I</t>
        </is>
      </c>
      <c r="D272" s="21" t="inlineStr"/>
      <c r="E272" s="21" t="inlineStr"/>
      <c r="F272" s="22" t="n"/>
      <c r="G272" s="22" t="n"/>
      <c r="H272" s="23" t="inlineStr">
        <is>
          <t>Absente de la base 2022</t>
        </is>
      </c>
    </row>
    <row r="273">
      <c r="A273" s="4" t="inlineStr">
        <is>
          <t>BW-1047</t>
        </is>
      </c>
      <c r="B273" s="21" t="inlineStr">
        <is>
          <t>Square threaded insert</t>
        </is>
      </c>
      <c r="C273" s="21" t="inlineStr">
        <is>
          <t>BOX 80 I; BOX 120 I</t>
        </is>
      </c>
      <c r="D273" s="21" t="inlineStr"/>
      <c r="E273" s="21" t="inlineStr"/>
      <c r="F273" s="22" t="n"/>
      <c r="G273" s="22" t="n"/>
      <c r="H273" s="23" t="inlineStr">
        <is>
          <t>Absente de la base 2022</t>
        </is>
      </c>
    </row>
    <row r="274">
      <c r="A274" s="4" t="inlineStr">
        <is>
          <t>BW-1048</t>
        </is>
      </c>
      <c r="B274" s="21" t="inlineStr">
        <is>
          <t>Earth / ground rivet, 4-way</t>
        </is>
      </c>
      <c r="C274" s="21" t="inlineStr">
        <is>
          <t>BOX 80 I; BOX 120 I</t>
        </is>
      </c>
      <c r="D274" s="21" t="inlineStr"/>
      <c r="E274" s="21" t="inlineStr"/>
      <c r="F274" s="22" t="n"/>
      <c r="G274" s="22" t="n"/>
      <c r="H274" s="23" t="inlineStr">
        <is>
          <t>Absente de la base 2022</t>
        </is>
      </c>
    </row>
    <row r="275">
      <c r="A275" s="4" t="inlineStr">
        <is>
          <t>BW-1049</t>
        </is>
      </c>
      <c r="B275" s="21" t="inlineStr">
        <is>
          <t>Time-delay fuse 5 A</t>
        </is>
      </c>
      <c r="C275" s="21" t="inlineStr">
        <is>
          <t>BOX 80 I</t>
        </is>
      </c>
      <c r="D275" s="21" t="inlineStr"/>
      <c r="E275" s="21" t="inlineStr"/>
      <c r="F275" s="22" t="n"/>
      <c r="G275" s="22" t="n"/>
      <c r="H275" s="23" t="inlineStr">
        <is>
          <t>Absente de la base 2022</t>
        </is>
      </c>
    </row>
    <row r="276">
      <c r="A276" s="4" t="inlineStr">
        <is>
          <t>BW-1050</t>
        </is>
      </c>
      <c r="B276" s="21" t="inlineStr">
        <is>
          <t>Illuminated double-pole switch I/O</t>
        </is>
      </c>
      <c r="C276" s="21" t="inlineStr">
        <is>
          <t>BOX 80 I; BOX 120 I</t>
        </is>
      </c>
      <c r="D276" s="21" t="inlineStr"/>
      <c r="E276" s="21" t="inlineStr"/>
      <c r="F276" s="22" t="n"/>
      <c r="G276" s="22" t="n"/>
      <c r="H276" s="23" t="inlineStr">
        <is>
          <t>Absente de la base 2022</t>
        </is>
      </c>
    </row>
    <row r="277">
      <c r="A277" s="4" t="inlineStr">
        <is>
          <t>BW-1051</t>
        </is>
      </c>
      <c r="B277" s="21" t="inlineStr">
        <is>
          <t>Rubber foot Ø30, steel M6x1</t>
        </is>
      </c>
      <c r="C277" s="21" t="inlineStr">
        <is>
          <t>BOX 80 I; BOX 120 I</t>
        </is>
      </c>
      <c r="D277" s="21" t="inlineStr"/>
      <c r="E277" s="21" t="inlineStr"/>
      <c r="F277" s="22" t="n"/>
      <c r="G277" s="22" t="n"/>
      <c r="H277" s="23" t="inlineStr">
        <is>
          <t>Absente de la base 2022</t>
        </is>
      </c>
    </row>
    <row r="278">
      <c r="A278" s="4" t="inlineStr">
        <is>
          <t>BW-1052</t>
        </is>
      </c>
      <c r="B278" s="21" t="inlineStr">
        <is>
          <t>Condenser</t>
        </is>
      </c>
      <c r="C278" s="21" t="inlineStr">
        <is>
          <t>BOX 120 I</t>
        </is>
      </c>
      <c r="D278" s="21" t="inlineStr"/>
      <c r="E278" s="21" t="inlineStr"/>
      <c r="F278" s="22" t="n"/>
      <c r="G278" s="22" t="n"/>
      <c r="H278" s="23" t="inlineStr">
        <is>
          <t>Absente de la base 2022</t>
        </is>
      </c>
    </row>
    <row r="279">
      <c r="A279" s="4" t="inlineStr">
        <is>
          <t>BW-1053</t>
        </is>
      </c>
      <c r="B279" s="21" t="inlineStr">
        <is>
          <t>Pump 200 L/h</t>
        </is>
      </c>
      <c r="C279" s="21" t="inlineStr">
        <is>
          <t>BOX 120 I</t>
        </is>
      </c>
      <c r="D279" s="21" t="inlineStr"/>
      <c r="E279" s="21" t="inlineStr"/>
      <c r="F279" s="22" t="n"/>
      <c r="G279" s="22" t="n"/>
      <c r="H279" s="23" t="inlineStr">
        <is>
          <t>Absente de la base 2022</t>
        </is>
      </c>
    </row>
    <row r="280">
      <c r="A280" s="4" t="inlineStr">
        <is>
          <t>BW-1054</t>
        </is>
      </c>
      <c r="B280" s="21" t="inlineStr">
        <is>
          <t>Carbonator</t>
        </is>
      </c>
      <c r="C280" s="21" t="inlineStr">
        <is>
          <t>BOX 120 I</t>
        </is>
      </c>
      <c r="D280" s="21" t="inlineStr"/>
      <c r="E280" s="21" t="inlineStr"/>
      <c r="F280" s="22" t="n"/>
      <c r="G280" s="22" t="n"/>
      <c r="H280" s="23" t="inlineStr">
        <is>
          <t>Absente de la base 2022</t>
        </is>
      </c>
    </row>
    <row r="281">
      <c r="A281" s="4" t="inlineStr">
        <is>
          <t>BW-1055</t>
        </is>
      </c>
      <c r="B281" s="21" t="inlineStr">
        <is>
          <t>Agitator bracket</t>
        </is>
      </c>
      <c r="C281" s="21" t="inlineStr">
        <is>
          <t>BOX 120 I</t>
        </is>
      </c>
      <c r="D281" s="21" t="inlineStr"/>
      <c r="E281" s="21" t="inlineStr"/>
      <c r="F281" s="22" t="n"/>
      <c r="G281" s="22" t="n"/>
      <c r="H281" s="23" t="inlineStr">
        <is>
          <t>Absente de la base 2022</t>
        </is>
      </c>
    </row>
    <row r="282">
      <c r="A282" s="4" t="inlineStr">
        <is>
          <t>BW-1056</t>
        </is>
      </c>
      <c r="B282" s="21" t="inlineStr">
        <is>
          <t>Electronic control board - LIV-IBM6</t>
        </is>
      </c>
      <c r="C282" s="21" t="inlineStr">
        <is>
          <t>BOX 120 I</t>
        </is>
      </c>
      <c r="D282" s="21" t="inlineStr"/>
      <c r="E282" s="21" t="inlineStr"/>
      <c r="F282" s="22" t="n"/>
      <c r="G282" s="22" t="n"/>
      <c r="H282" s="23" t="inlineStr">
        <is>
          <t>Absente de la base 2022</t>
        </is>
      </c>
    </row>
    <row r="283">
      <c r="A283" s="4" t="inlineStr">
        <is>
          <t>BW-1057</t>
        </is>
      </c>
      <c r="B283" s="21" t="inlineStr">
        <is>
          <t>Tank, complete</t>
        </is>
      </c>
      <c r="C283" s="21" t="inlineStr">
        <is>
          <t>BOX 120 I</t>
        </is>
      </c>
      <c r="D283" s="21" t="inlineStr"/>
      <c r="E283" s="21" t="inlineStr"/>
      <c r="F283" s="22" t="n"/>
      <c r="G283" s="22" t="n"/>
      <c r="H283" s="23" t="inlineStr">
        <is>
          <t>Absente de la base 2022</t>
        </is>
      </c>
    </row>
    <row r="284">
      <c r="A284" s="4" t="inlineStr">
        <is>
          <t>BW-1058</t>
        </is>
      </c>
      <c r="B284" s="21" t="inlineStr">
        <is>
          <t>Stainless-steel base</t>
        </is>
      </c>
      <c r="C284" s="21" t="inlineStr">
        <is>
          <t>BOX 120 I</t>
        </is>
      </c>
      <c r="D284" s="21" t="inlineStr"/>
      <c r="E284" s="21" t="inlineStr"/>
      <c r="F284" s="22" t="n"/>
      <c r="G284" s="22" t="n"/>
      <c r="H284" s="23" t="inlineStr">
        <is>
          <t>Absente de la base 2022</t>
        </is>
      </c>
    </row>
    <row r="285">
      <c r="A285" s="4" t="inlineStr">
        <is>
          <t>BW-1059</t>
        </is>
      </c>
      <c r="B285" s="21" t="inlineStr">
        <is>
          <t>Stainless-steel top cover / lid</t>
        </is>
      </c>
      <c r="C285" s="21" t="inlineStr">
        <is>
          <t>BOX 120 I</t>
        </is>
      </c>
      <c r="D285" s="21" t="inlineStr"/>
      <c r="E285" s="21" t="inlineStr"/>
      <c r="F285" s="22" t="n"/>
      <c r="G285" s="22" t="n"/>
      <c r="H285" s="23" t="inlineStr">
        <is>
          <t>Absente de la base 2022</t>
        </is>
      </c>
    </row>
    <row r="286">
      <c r="A286" s="4" t="inlineStr">
        <is>
          <t>BW-1060</t>
        </is>
      </c>
      <c r="B286" s="21" t="inlineStr">
        <is>
          <t>Stainless-steel side panel, right</t>
        </is>
      </c>
      <c r="C286" s="21" t="inlineStr">
        <is>
          <t>BOX 120 I</t>
        </is>
      </c>
      <c r="D286" s="21" t="inlineStr"/>
      <c r="E286" s="21" t="inlineStr"/>
      <c r="F286" s="22" t="n"/>
      <c r="G286" s="22" t="n"/>
      <c r="H286" s="23" t="inlineStr">
        <is>
          <t>Absente de la base 2022</t>
        </is>
      </c>
    </row>
    <row r="287">
      <c r="A287" s="4" t="inlineStr">
        <is>
          <t>BW-1061</t>
        </is>
      </c>
      <c r="B287" s="21" t="inlineStr">
        <is>
          <t>Stainless-steel side panel, left</t>
        </is>
      </c>
      <c r="C287" s="21" t="inlineStr">
        <is>
          <t>BOX 120 I</t>
        </is>
      </c>
      <c r="D287" s="21" t="inlineStr"/>
      <c r="E287" s="21" t="inlineStr"/>
      <c r="F287" s="22" t="n"/>
      <c r="G287" s="22" t="n"/>
      <c r="H287" s="23" t="inlineStr">
        <is>
          <t>Absente de la base 2022</t>
        </is>
      </c>
    </row>
    <row r="288">
      <c r="A288" s="4" t="inlineStr">
        <is>
          <t>BW-1062</t>
        </is>
      </c>
      <c r="B288" s="21" t="inlineStr">
        <is>
          <t>Motor bracket</t>
        </is>
      </c>
      <c r="C288" s="21" t="inlineStr">
        <is>
          <t>BOX 120 I</t>
        </is>
      </c>
      <c r="D288" s="21" t="inlineStr"/>
      <c r="E288" s="21" t="inlineStr"/>
      <c r="F288" s="22" t="n"/>
      <c r="G288" s="22" t="n"/>
      <c r="H288" s="23" t="inlineStr">
        <is>
          <t>Absente de la base 2022</t>
        </is>
      </c>
    </row>
    <row r="289">
      <c r="A289" s="4" t="inlineStr">
        <is>
          <t>BW-1063</t>
        </is>
      </c>
      <c r="B289" s="21" t="inlineStr">
        <is>
          <t>Evaporator, complete</t>
        </is>
      </c>
      <c r="C289" s="21" t="inlineStr">
        <is>
          <t>BOX 120 I</t>
        </is>
      </c>
      <c r="D289" s="21" t="inlineStr"/>
      <c r="E289" s="21" t="inlineStr"/>
      <c r="F289" s="22" t="n"/>
      <c r="G289" s="22" t="n"/>
      <c r="H289" s="23" t="inlineStr">
        <is>
          <t>Absente de la base 2022</t>
        </is>
      </c>
    </row>
    <row r="290">
      <c r="A290" s="4" t="inlineStr">
        <is>
          <t>BW-1064</t>
        </is>
      </c>
      <c r="B290" s="21" t="inlineStr">
        <is>
          <t>Cooling coil, complete</t>
        </is>
      </c>
      <c r="C290" s="21" t="inlineStr">
        <is>
          <t>BOX 120 I</t>
        </is>
      </c>
      <c r="D290" s="21" t="inlineStr"/>
      <c r="E290" s="21" t="inlineStr"/>
      <c r="F290" s="22" t="n"/>
      <c r="G290" s="22" t="n"/>
      <c r="H290" s="23" t="inlineStr">
        <is>
          <t>Absente de la base 2022</t>
        </is>
      </c>
    </row>
    <row r="291">
      <c r="A291" s="4" t="inlineStr">
        <is>
          <t>BW-1065</t>
        </is>
      </c>
      <c r="B291" s="21" t="inlineStr">
        <is>
          <t>Rubber cable grommet Ø23</t>
        </is>
      </c>
      <c r="C291" s="21" t="inlineStr">
        <is>
          <t>BOX 120 I</t>
        </is>
      </c>
      <c r="D291" s="21" t="inlineStr"/>
      <c r="E291" s="21" t="inlineStr"/>
      <c r="F291" s="22" t="n"/>
      <c r="G291" s="22" t="n"/>
      <c r="H291" s="23" t="inlineStr">
        <is>
          <t>Absente de la base 2022</t>
        </is>
      </c>
    </row>
    <row r="292">
      <c r="A292" s="4" t="inlineStr">
        <is>
          <t>BW-1066</t>
        </is>
      </c>
      <c r="B292" s="21" t="inlineStr">
        <is>
          <t>Time-delay fuse 10 A</t>
        </is>
      </c>
      <c r="C292" s="21" t="inlineStr">
        <is>
          <t>BOX 120 I</t>
        </is>
      </c>
      <c r="D292" s="21" t="inlineStr"/>
      <c r="E292" s="21" t="inlineStr"/>
      <c r="F292" s="22" t="n"/>
      <c r="G292" s="22" t="n"/>
      <c r="H292" s="23" t="inlineStr">
        <is>
          <t>Absente de la base 2022</t>
        </is>
      </c>
    </row>
    <row r="293">
      <c r="A293" s="4" t="inlineStr">
        <is>
          <t>BW-1067</t>
        </is>
      </c>
      <c r="B293" s="21" t="inlineStr">
        <is>
          <t>Reopenable cable tie (for panel hole)</t>
        </is>
      </c>
      <c r="C293" s="21" t="inlineStr">
        <is>
          <t>BOX 120 I</t>
        </is>
      </c>
      <c r="D293" s="21" t="inlineStr"/>
      <c r="E293" s="21" t="inlineStr"/>
      <c r="F293" s="22" t="n"/>
      <c r="G293" s="22" t="n"/>
      <c r="H293" s="23" t="inlineStr">
        <is>
          <t>Absente de la base 2022</t>
        </is>
      </c>
    </row>
    <row r="294">
      <c r="A294" s="4" t="inlineStr">
        <is>
          <t>BW-1068</t>
        </is>
      </c>
      <c r="B294" s="21" t="inlineStr">
        <is>
          <t>Carb level probe</t>
        </is>
      </c>
      <c r="C294" s="21" t="inlineStr">
        <is>
          <t>BOX 30E; BOX 30</t>
        </is>
      </c>
      <c r="D294" s="21" t="inlineStr">
        <is>
          <t>Borg&amp;Overström</t>
        </is>
      </c>
      <c r="E294" s="21" t="inlineStr">
        <is>
          <t>701157</t>
        </is>
      </c>
      <c r="F294" s="22" t="n"/>
      <c r="G294" s="22" t="n"/>
      <c r="H294" s="23" t="inlineStr">
        <is>
          <t>Prix à demander (AS*)</t>
        </is>
      </c>
    </row>
    <row r="295">
      <c r="A295" s="4" t="inlineStr">
        <is>
          <t>BW-1069</t>
        </is>
      </c>
      <c r="B295" s="21" t="inlineStr">
        <is>
          <t>Temp probe</t>
        </is>
      </c>
      <c r="C295" s="21" t="inlineStr">
        <is>
          <t>BOX 30E; BOX 30</t>
        </is>
      </c>
      <c r="D295" s="21" t="inlineStr">
        <is>
          <t>Borg&amp;Overström</t>
        </is>
      </c>
      <c r="E295" s="21" t="inlineStr">
        <is>
          <t>720023</t>
        </is>
      </c>
      <c r="F295" s="22" t="n"/>
      <c r="G295" s="22" t="n"/>
      <c r="H295" s="23" t="inlineStr">
        <is>
          <t>Prix à demander (AS*)</t>
        </is>
      </c>
    </row>
    <row r="296">
      <c r="A296" s="4" t="inlineStr">
        <is>
          <t>BW-1070</t>
        </is>
      </c>
      <c r="B296" s="21" t="inlineStr">
        <is>
          <t>U2 Tap Twin Port 285 mm Mounting Gasket 35 mm</t>
        </is>
      </c>
      <c r="C296" s="21" t="inlineStr">
        <is>
          <t>BAR1</t>
        </is>
      </c>
      <c r="D296" s="21" t="inlineStr">
        <is>
          <t>Borg&amp;Overström</t>
        </is>
      </c>
      <c r="E296" s="21" t="inlineStr">
        <is>
          <t>604022</t>
        </is>
      </c>
      <c r="F296" s="22" t="n"/>
      <c r="G296" s="22" t="n"/>
      <c r="H296" s="23" t="inlineStr">
        <is>
          <t>Prix à demander (AS*)</t>
        </is>
      </c>
    </row>
    <row r="297">
      <c r="A297" s="4" t="inlineStr">
        <is>
          <t>BW-1071</t>
        </is>
      </c>
      <c r="B297" s="21" t="inlineStr">
        <is>
          <t>RECIRCULATION PUMP 230V</t>
        </is>
      </c>
      <c r="C297" s="21" t="inlineStr">
        <is>
          <t>BOX 80</t>
        </is>
      </c>
      <c r="D297" s="21" t="inlineStr">
        <is>
          <t>Blupura</t>
        </is>
      </c>
      <c r="E297" s="21" t="inlineStr">
        <is>
          <t>810327</t>
        </is>
      </c>
      <c r="F297" s="22" t="n"/>
      <c r="G297" s="22" t="n"/>
      <c r="H297" s="23" t="inlineStr">
        <is>
          <t>Prix à demander (AS*)</t>
        </is>
      </c>
    </row>
    <row r="298">
      <c r="A298" s="4" t="inlineStr">
        <is>
          <t>BW-1072</t>
        </is>
      </c>
      <c r="B298" s="21" t="inlineStr">
        <is>
          <t>Capillary tube</t>
        </is>
      </c>
      <c r="C298" s="21" t="inlineStr">
        <is>
          <t>BOX 80 I</t>
        </is>
      </c>
      <c r="D298" s="21" t="inlineStr"/>
      <c r="E298" s="21" t="inlineStr"/>
      <c r="F298" s="22" t="n"/>
      <c r="G298" s="22" t="n"/>
      <c r="H298" s="23" t="inlineStr">
        <is>
          <t>Absente de la base 2022</t>
        </is>
      </c>
    </row>
  </sheetData>
  <autoFilter ref="A4:H2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2026-08-26T15:14:24Z</dcterms:created>
  <dcterms:modified xsi:type="dcterms:W3CDTF">2026-08-26T15:14:24Z</dcterms:modified>
</cp:coreProperties>
</file>