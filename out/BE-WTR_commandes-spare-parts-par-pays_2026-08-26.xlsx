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Commandes par pays" sheetId="2" state="visible" r:id="rId2"/>
    <sheet name="Vérification claims" sheetId="3" state="visible" r:id="rId3"/>
    <sheet name="Tarif Blupura 11-2024" sheetId="4" state="visible" r:id="rId4"/>
    <sheet name="Référentiel SKU &amp; prix" sheetId="5" state="visible" r:id="rId5"/>
  </sheets>
  <definedNames>
    <definedName name="_xlnm._FilterDatabase" localSheetId="1" hidden="1">'Commandes par pays'!$A$4:$P$33</definedName>
    <definedName name="_xlnm._FilterDatabase" localSheetId="2" hidden="1">'Vérification claims'!$A$4:$I$57</definedName>
    <definedName name="_xlnm._FilterDatabase" localSheetId="3" hidden="1">'Tarif Blupura 11-2024'!$A$4:$H$549</definedName>
    <definedName name="_xlnm._FilterDatabase" localSheetId="4" hidden="1">'Référentiel SKU &amp; prix'!$A$4:$I$298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-"/>
    <numFmt numFmtId="165" formatCode="#,##0;(#,##0);-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BFBFBF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0" fontId="4" fillId="5" borderId="1" pivotButton="0" quotePrefix="0" xfId="0"/>
    <xf numFmtId="165" fontId="4" fillId="5" borderId="1" pivotButton="0" quotePrefix="0" xfId="0"/>
    <xf numFmtId="0" fontId="7" fillId="0" borderId="0" pivotButton="0" quotePrefix="0" xfId="0"/>
    <xf numFmtId="164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165" fontId="5" fillId="3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5" fillId="3" borderId="1" applyAlignment="1" pivotButton="0" quotePrefix="0" xfId="0">
      <alignment vertical="top" wrapText="1"/>
    </xf>
    <xf numFmtId="0" fontId="0" fillId="5" borderId="1" pivotButton="0" quotePrefix="0" xfId="0"/>
    <xf numFmtId="164" fontId="4" fillId="5" borderId="1" pivotButton="0" quotePrefix="0" xfId="0"/>
    <xf numFmtId="0" fontId="4" fillId="3" borderId="1" applyAlignment="1" pivotButton="0" quotePrefix="0" xfId="0">
      <alignment vertical="top"/>
    </xf>
    <xf numFmtId="0" fontId="5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10" customWidth="1" min="3" max="3"/>
    <col width="15" customWidth="1" min="4" max="4"/>
    <col width="12" customWidth="1" min="5" max="5"/>
    <col width="17" customWidth="1" min="6" max="6"/>
    <col width="17" customWidth="1" min="7" max="7"/>
    <col width="15" customWidth="1" min="8" max="8"/>
  </cols>
  <sheetData>
    <row r="1">
      <c r="A1" s="1" t="inlineStr">
        <is>
          <t>Commandes de pièces détachées par pays</t>
        </is>
      </c>
    </row>
    <row r="2">
      <c r="A2" s="2" t="inlineStr">
        <is>
          <t>Extrait du board Monday « Technical troubleshooting » le 26.08.2026.</t>
        </is>
      </c>
    </row>
    <row r="4" ht="36" customHeight="1">
      <c r="A4" s="3" t="inlineStr">
        <is>
          <t>Pays</t>
        </is>
      </c>
      <c r="B4" s="3" t="inlineStr">
        <is>
          <t>Lignes</t>
        </is>
      </c>
      <c r="C4" s="3" t="inlineStr">
        <is>
          <t>Pièces</t>
        </is>
      </c>
      <c r="D4" s="3" t="inlineStr">
        <is>
          <t>dont commande</t>
        </is>
      </c>
      <c r="E4" s="3" t="inlineStr">
        <is>
          <t>dont claim</t>
        </is>
      </c>
      <c r="F4" s="3" t="inlineStr">
        <is>
          <t>SKU à renseigner</t>
        </is>
      </c>
      <c r="G4" s="3" t="inlineStr">
        <is>
          <t>Lignes sans prix</t>
        </is>
      </c>
      <c r="H4" s="3" t="inlineStr">
        <is>
          <t>Claims ouverts</t>
        </is>
      </c>
    </row>
    <row r="5">
      <c r="A5" s="4" t="inlineStr">
        <is>
          <t>France</t>
        </is>
      </c>
      <c r="B5" s="5" t="n">
        <v>16</v>
      </c>
      <c r="C5" s="5" t="n">
        <v>155</v>
      </c>
      <c r="D5" s="5" t="n">
        <v>153</v>
      </c>
      <c r="E5" s="5" t="n">
        <v>2</v>
      </c>
      <c r="F5" s="5" t="n">
        <v>2</v>
      </c>
      <c r="G5" s="5" t="n">
        <v>4</v>
      </c>
      <c r="H5" s="5" t="n">
        <v>10</v>
      </c>
    </row>
    <row r="6">
      <c r="A6" s="4" t="inlineStr">
        <is>
          <t>Suisse</t>
        </is>
      </c>
      <c r="B6" s="5" t="n">
        <v>10</v>
      </c>
      <c r="C6" s="5" t="n">
        <v>110</v>
      </c>
      <c r="D6" s="5" t="n">
        <v>105</v>
      </c>
      <c r="E6" s="5" t="n">
        <v>5</v>
      </c>
      <c r="F6" s="5" t="n">
        <v>3</v>
      </c>
      <c r="G6" s="5" t="n">
        <v>6</v>
      </c>
      <c r="H6" s="5" t="n">
        <v>38</v>
      </c>
    </row>
    <row r="7">
      <c r="A7" s="4" t="inlineStr">
        <is>
          <t>UK</t>
        </is>
      </c>
      <c r="B7" s="5" t="n">
        <v>1</v>
      </c>
      <c r="C7" s="5" t="n">
        <v>1</v>
      </c>
      <c r="D7" s="5" t="n">
        <v>0</v>
      </c>
      <c r="E7" s="5" t="n">
        <v>1</v>
      </c>
      <c r="F7" s="5" t="n">
        <v>0</v>
      </c>
      <c r="G7" s="5" t="n">
        <v>0</v>
      </c>
      <c r="H7" s="5" t="n">
        <v>1</v>
      </c>
    </row>
    <row r="8">
      <c r="A8" s="4" t="inlineStr">
        <is>
          <t>Émirats</t>
        </is>
      </c>
      <c r="B8" s="5" t="n">
        <v>2</v>
      </c>
      <c r="C8" s="5" t="n">
        <v>2</v>
      </c>
      <c r="D8" s="5" t="n">
        <v>0</v>
      </c>
      <c r="E8" s="5" t="n">
        <v>2</v>
      </c>
      <c r="F8" s="5" t="n">
        <v>1</v>
      </c>
      <c r="G8" s="5" t="n">
        <v>1</v>
      </c>
      <c r="H8" s="5" t="n">
        <v>2</v>
      </c>
    </row>
    <row r="9">
      <c r="A9" s="4" t="inlineStr">
        <is>
          <t>Espagne</t>
        </is>
      </c>
      <c r="B9" s="5" t="n">
        <v>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1</v>
      </c>
    </row>
    <row r="10">
      <c r="A10" s="4" t="inlineStr">
        <is>
          <t>Canada</t>
        </is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1</v>
      </c>
    </row>
    <row r="11">
      <c r="A11" s="6" t="inlineStr">
        <is>
          <t>TOTAL</t>
        </is>
      </c>
      <c r="B11" s="7">
        <f>SUM(B5:B10)</f>
        <v/>
      </c>
      <c r="C11" s="7">
        <f>SUM(C5:C10)</f>
        <v/>
      </c>
      <c r="D11" s="7">
        <f>SUM(D5:D10)</f>
        <v/>
      </c>
      <c r="E11" s="7">
        <f>SUM(E5:E10)</f>
        <v/>
      </c>
      <c r="F11" s="7">
        <f>SUM(F5:F10)</f>
        <v/>
      </c>
      <c r="G11" s="7">
        <f>SUM(G5:G10)</f>
        <v/>
      </c>
      <c r="H11" s="7">
        <f>SUM(H5:H10)</f>
        <v/>
      </c>
    </row>
    <row r="13">
      <c r="A13" s="8" t="inlineStr">
        <is>
          <t>Montant Blupura (EUR)</t>
        </is>
      </c>
      <c r="C13" s="9">
        <f>'Commandes par pays'!L34</f>
        <v/>
      </c>
    </row>
    <row r="14">
      <c r="A14" s="8" t="inlineStr">
        <is>
          <t>Montant Borg&amp;Overström (CHF)</t>
        </is>
      </c>
      <c r="C14" s="9">
        <f>'Commandes par pays'!M34</f>
        <v/>
      </c>
    </row>
    <row r="16">
      <c r="A16" s="10" t="inlineStr">
        <is>
          <t>Le tarif Blupura « Trascodifica » du 08.11.2024 change la donne : 12 des 14 lignes françaises sont désormais chiffrables, contre 4 avec la seule base de 2022. Seuls le support de pompe immersion (110264) et le kit ice bank overflow (750019) restent absents du tarif et doivent être devisés.</t>
        </is>
      </c>
    </row>
    <row r="17"/>
    <row r="19">
      <c r="A19" s="10" t="inlineStr">
        <is>
          <t>Ce tarif révèle aussi que les prix catalogue 2022 sont environ le double du prix d'achat réel : pompe immersion 21 CHF contre 11,55 EUR, pompe 100 L/h 121 CHF contre 75,60 EUR, ventilateur 40 CHF contre 23,80 EUR.</t>
        </is>
      </c>
    </row>
    <row r="20"/>
    <row r="22">
      <c r="A22" s="10" t="inlineStr">
        <is>
          <t>Attention aux conditionnements : le pied PVC (140118) se vend par 4 et le passe-cloison 8 mm (140099) par 10. Les 30 pieds et 10 passe-cloisons demandés correspondent donc à 8 et 1 lots.</t>
        </is>
      </c>
    </row>
    <row r="23"/>
    <row r="25">
      <c r="A25" s="10" t="inlineStr">
        <is>
          <t>Espagne et Canada n'ont aucune pièce à commander : claim espagnol vide, claim canadien en attente d'un frigoriste local.</t>
        </is>
      </c>
    </row>
    <row r="26"/>
    <row r="28">
      <c r="A28" s="10" t="inlineStr">
        <is>
          <t>France : 4 moteurs de pompe CO2 sont en panne pour 3 commandés, alors que 20 thermostats sont commandés pour 3 pannes.</t>
        </is>
      </c>
    </row>
    <row r="29"/>
  </sheetData>
  <mergeCells count="5">
    <mergeCell ref="A22:H23"/>
    <mergeCell ref="A28:H29"/>
    <mergeCell ref="A25:H26"/>
    <mergeCell ref="A16:H17"/>
    <mergeCell ref="A19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36" customWidth="1" min="3" max="3"/>
    <col width="11" customWidth="1" min="4" max="4"/>
    <col width="14" customWidth="1" min="5" max="5"/>
    <col width="14" customWidth="1" min="6" max="6"/>
    <col width="9" customWidth="1" min="7" max="7"/>
    <col width="10" customWidth="1" min="8" max="8"/>
    <col width="11" customWidth="1" min="9" max="9"/>
    <col width="15" customWidth="1" min="10" max="10"/>
    <col width="15" customWidth="1" min="11" max="11"/>
    <col width="11" customWidth="1" min="12" max="12"/>
    <col width="11" customWidth="1" min="13" max="13"/>
    <col width="15" customWidth="1" min="14" max="14"/>
    <col width="13" customWidth="1" min="15" max="15"/>
    <col width="50" customWidth="1" min="16" max="16"/>
  </cols>
  <sheetData>
    <row r="1">
      <c r="A1" s="1" t="inlineStr">
        <is>
          <t>Pièces à commander par pays — SKU, référence fournisseur et prix</t>
        </is>
      </c>
    </row>
    <row r="2">
      <c r="A2" s="2" t="inlineStr">
        <is>
          <t>Monday « Technical troubleshooting » au 26.08.2026, croisé avec le tarif Blupura « Trascodifica REV00 » du 08.11.2024 et la base SharePoint de septembre 2022. Cellule SKU grisée = référence à renseigner.</t>
        </is>
      </c>
    </row>
    <row r="4" ht="36" customHeight="1">
      <c r="A4" s="3" t="inlineStr">
        <is>
          <t>Pays</t>
        </is>
      </c>
      <c r="B4" s="3" t="inlineStr">
        <is>
          <t>SKU BW</t>
        </is>
      </c>
      <c r="C4" s="3" t="inlineStr">
        <is>
          <t>Désignation</t>
        </is>
      </c>
      <c r="D4" s="3" t="inlineStr">
        <is>
          <t>Réf. fourn.</t>
        </is>
      </c>
      <c r="E4" s="3" t="inlineStr">
        <is>
          <t>Code Blupura 2024</t>
        </is>
      </c>
      <c r="F4" s="3" t="inlineStr">
        <is>
          <t>Fournisseur</t>
        </is>
      </c>
      <c r="G4" s="3" t="inlineStr">
        <is>
          <t>Qté (pcs)</t>
        </is>
      </c>
      <c r="H4" s="3" t="inlineStr">
        <is>
          <t>Cond. (pcs/lot)</t>
        </is>
      </c>
      <c r="I4" s="3" t="inlineStr">
        <is>
          <t>Unités à cder</t>
        </is>
      </c>
      <c r="J4" s="3" t="inlineStr">
        <is>
          <t>Prix unit. EUR (2024)</t>
        </is>
      </c>
      <c r="K4" s="3" t="inlineStr">
        <is>
          <t>Prix cat. CHF (2022)</t>
        </is>
      </c>
      <c r="L4" s="3" t="inlineStr">
        <is>
          <t>Total EUR (Blupura)</t>
        </is>
      </c>
      <c r="M4" s="3" t="inlineStr">
        <is>
          <t>Total CHF (autres fourn.)</t>
        </is>
      </c>
      <c r="N4" s="3" t="inlineStr">
        <is>
          <t>Origine</t>
        </is>
      </c>
      <c r="O4" s="3" t="inlineStr">
        <is>
          <t>Item Monday</t>
        </is>
      </c>
      <c r="P4" s="3" t="inlineStr">
        <is>
          <t>Remarque</t>
        </is>
      </c>
    </row>
    <row r="5">
      <c r="A5" s="11" t="inlineStr">
        <is>
          <t>France</t>
        </is>
      </c>
      <c r="B5" s="11" t="inlineStr">
        <is>
          <t>BW-0416</t>
        </is>
      </c>
      <c r="C5" s="12" t="inlineStr">
        <is>
          <t>Bracket for Immersion Pump</t>
        </is>
      </c>
      <c r="D5" s="13" t="inlineStr">
        <is>
          <t>110264</t>
        </is>
      </c>
      <c r="E5" s="13" t="inlineStr">
        <is>
          <t>—</t>
        </is>
      </c>
      <c r="F5" s="13" t="inlineStr">
        <is>
          <t>Blupura</t>
        </is>
      </c>
      <c r="G5" s="14" t="n">
        <v>5</v>
      </c>
      <c r="H5" s="15" t="n">
        <v>1</v>
      </c>
      <c r="I5" s="15">
        <f>IF(H5&lt;=1,G5,ROUNDUP(G5/H5,0))</f>
        <v/>
      </c>
      <c r="J5" s="16" t="n"/>
      <c r="K5" s="16" t="n"/>
      <c r="L5" s="16">
        <f>IF(N(J5)=0,"",I5*J5)</f>
        <v/>
      </c>
      <c r="M5" s="16">
        <f>IF(N(J5)&gt;0,"",IF(N(K5)=0,"",G5*K5))</f>
        <v/>
      </c>
      <c r="N5" s="13" t="inlineStr">
        <is>
          <t>Commande Monday</t>
        </is>
      </c>
      <c r="O5" s="13" t="inlineStr">
        <is>
          <t>12889411743</t>
        </is>
      </c>
      <c r="P5" s="12" t="inlineStr"/>
    </row>
    <row r="6">
      <c r="A6" s="11" t="inlineStr">
        <is>
          <t>France</t>
        </is>
      </c>
      <c r="B6" s="11" t="inlineStr">
        <is>
          <t>BW-0183</t>
        </is>
      </c>
      <c r="C6" s="12" t="inlineStr">
        <is>
          <t>Immersion pump</t>
        </is>
      </c>
      <c r="D6" s="13" t="inlineStr">
        <is>
          <t>810320</t>
        </is>
      </c>
      <c r="E6" s="13" t="inlineStr">
        <is>
          <t>760253</t>
        </is>
      </c>
      <c r="F6" s="13" t="inlineStr">
        <is>
          <t>Blupura</t>
        </is>
      </c>
      <c r="G6" s="14" t="n">
        <v>20</v>
      </c>
      <c r="H6" s="15" t="n">
        <v>1</v>
      </c>
      <c r="I6" s="15">
        <f>IF(H6&lt;=1,G6,ROUNDUP(G6/H6,0))</f>
        <v/>
      </c>
      <c r="J6" s="16" t="n">
        <v>11.55</v>
      </c>
      <c r="K6" s="16" t="n">
        <v>21</v>
      </c>
      <c r="L6" s="16">
        <f>IF(N(J6)=0,"",I6*J6)</f>
        <v/>
      </c>
      <c r="M6" s="16">
        <f>IF(N(J6)&gt;0,"",IF(N(K6)=0,"",G6*K6))</f>
        <v/>
      </c>
      <c r="N6" s="13" t="inlineStr">
        <is>
          <t>Commande Monday</t>
        </is>
      </c>
      <c r="O6" s="13" t="inlineStr">
        <is>
          <t>12889411743</t>
        </is>
      </c>
      <c r="P6" s="12" t="inlineStr"/>
    </row>
    <row r="7">
      <c r="A7" s="11" t="inlineStr">
        <is>
          <t>France</t>
        </is>
      </c>
      <c r="B7" s="11" t="inlineStr">
        <is>
          <t>BW-0184</t>
        </is>
      </c>
      <c r="C7" s="12" t="inlineStr">
        <is>
          <t>Pump 100L/h</t>
        </is>
      </c>
      <c r="D7" s="13" t="inlineStr">
        <is>
          <t>130049</t>
        </is>
      </c>
      <c r="E7" s="13" t="inlineStr">
        <is>
          <t>760513</t>
        </is>
      </c>
      <c r="F7" s="13" t="inlineStr">
        <is>
          <t>Blupura</t>
        </is>
      </c>
      <c r="G7" s="14" t="n">
        <v>6</v>
      </c>
      <c r="H7" s="15" t="n">
        <v>1</v>
      </c>
      <c r="I7" s="15">
        <f>IF(H7&lt;=1,G7,ROUNDUP(G7/H7,0))</f>
        <v/>
      </c>
      <c r="J7" s="16" t="n">
        <v>75.59999999999999</v>
      </c>
      <c r="K7" s="16" t="n">
        <v>121</v>
      </c>
      <c r="L7" s="16">
        <f>IF(N(J7)=0,"",I7*J7)</f>
        <v/>
      </c>
      <c r="M7" s="16">
        <f>IF(N(J7)&gt;0,"",IF(N(K7)=0,"",G7*K7))</f>
        <v/>
      </c>
      <c r="N7" s="13" t="inlineStr">
        <is>
          <t>Commande Monday</t>
        </is>
      </c>
      <c r="O7" s="13" t="inlineStr">
        <is>
          <t>12889411743</t>
        </is>
      </c>
      <c r="P7" s="12" t="inlineStr"/>
    </row>
    <row r="8">
      <c r="A8" s="11" t="inlineStr">
        <is>
          <t>France</t>
        </is>
      </c>
      <c r="B8" s="11" t="inlineStr">
        <is>
          <t>BW-0417</t>
        </is>
      </c>
      <c r="C8" s="12" t="inlineStr">
        <is>
          <t>Motor for pump 100L/h</t>
        </is>
      </c>
      <c r="D8" s="13" t="inlineStr">
        <is>
          <t>130048A</t>
        </is>
      </c>
      <c r="E8" s="13" t="inlineStr">
        <is>
          <t>760062</t>
        </is>
      </c>
      <c r="F8" s="13" t="inlineStr">
        <is>
          <t>Blupura</t>
        </is>
      </c>
      <c r="G8" s="14" t="n">
        <v>3</v>
      </c>
      <c r="H8" s="15" t="n">
        <v>1</v>
      </c>
      <c r="I8" s="15">
        <f>IF(H8&lt;=1,G8,ROUNDUP(G8/H8,0))</f>
        <v/>
      </c>
      <c r="J8" s="16" t="n">
        <v>86.5</v>
      </c>
      <c r="K8" s="16" t="n"/>
      <c r="L8" s="16">
        <f>IF(N(J8)=0,"",I8*J8)</f>
        <v/>
      </c>
      <c r="M8" s="16">
        <f>IF(N(J8)&gt;0,"",IF(N(K8)=0,"",G8*K8))</f>
        <v/>
      </c>
      <c r="N8" s="13" t="inlineStr">
        <is>
          <t>Commande Monday</t>
        </is>
      </c>
      <c r="O8" s="13" t="inlineStr">
        <is>
          <t>12889411743</t>
        </is>
      </c>
      <c r="P8" s="12" t="inlineStr"/>
    </row>
    <row r="9">
      <c r="A9" s="11" t="inlineStr">
        <is>
          <t>France</t>
        </is>
      </c>
      <c r="B9" s="11" t="inlineStr">
        <is>
          <t>BW-0429</t>
        </is>
      </c>
      <c r="C9" s="12" t="inlineStr">
        <is>
          <t>Ice bank overflow kit</t>
        </is>
      </c>
      <c r="D9" s="13" t="inlineStr">
        <is>
          <t>750019</t>
        </is>
      </c>
      <c r="E9" s="13" t="inlineStr">
        <is>
          <t>—</t>
        </is>
      </c>
      <c r="F9" s="13" t="inlineStr">
        <is>
          <t>Blupura</t>
        </is>
      </c>
      <c r="G9" s="14" t="n">
        <v>30</v>
      </c>
      <c r="H9" s="15" t="n">
        <v>1</v>
      </c>
      <c r="I9" s="15">
        <f>IF(H9&lt;=1,G9,ROUNDUP(G9/H9,0))</f>
        <v/>
      </c>
      <c r="J9" s="16" t="n"/>
      <c r="K9" s="16" t="n"/>
      <c r="L9" s="16">
        <f>IF(N(J9)=0,"",I9*J9)</f>
        <v/>
      </c>
      <c r="M9" s="16">
        <f>IF(N(J9)&gt;0,"",IF(N(K9)=0,"",G9*K9))</f>
        <v/>
      </c>
      <c r="N9" s="13" t="inlineStr">
        <is>
          <t>Commande Monday</t>
        </is>
      </c>
      <c r="O9" s="13" t="inlineStr">
        <is>
          <t>12889411743</t>
        </is>
      </c>
      <c r="P9" s="12" t="inlineStr"/>
    </row>
    <row r="10">
      <c r="A10" s="11" t="inlineStr">
        <is>
          <t>France</t>
        </is>
      </c>
      <c r="B10" s="11" t="inlineStr">
        <is>
          <t>BW-0421</t>
        </is>
      </c>
      <c r="C10" s="12" t="inlineStr">
        <is>
          <t>Foot pvc</t>
        </is>
      </c>
      <c r="D10" s="13" t="inlineStr">
        <is>
          <t>140118</t>
        </is>
      </c>
      <c r="E10" s="13" t="inlineStr">
        <is>
          <t>760120</t>
        </is>
      </c>
      <c r="F10" s="13" t="inlineStr">
        <is>
          <t>Blupura</t>
        </is>
      </c>
      <c r="G10" s="14" t="n">
        <v>30</v>
      </c>
      <c r="H10" s="17" t="n">
        <v>4</v>
      </c>
      <c r="I10" s="15">
        <f>IF(H10&lt;=1,G10,ROUNDUP(G10/H10,0))</f>
        <v/>
      </c>
      <c r="J10" s="16" t="n">
        <v>5</v>
      </c>
      <c r="K10" s="16" t="n"/>
      <c r="L10" s="16">
        <f>IF(N(J10)=0,"",I10*J10)</f>
        <v/>
      </c>
      <c r="M10" s="16">
        <f>IF(N(J10)&gt;0,"",IF(N(K10)=0,"",G10*K10))</f>
        <v/>
      </c>
      <c r="N10" s="13" t="inlineStr">
        <is>
          <t>Commande Monday</t>
        </is>
      </c>
      <c r="O10" s="13" t="inlineStr">
        <is>
          <t>12889411743</t>
        </is>
      </c>
      <c r="P10" s="12" t="inlineStr"/>
    </row>
    <row r="11">
      <c r="A11" s="11" t="inlineStr">
        <is>
          <t>France</t>
        </is>
      </c>
      <c r="B11" s="11" t="inlineStr">
        <is>
          <t>BW-0419</t>
        </is>
      </c>
      <c r="C11" s="12" t="inlineStr">
        <is>
          <t>Cover box 80</t>
        </is>
      </c>
      <c r="D11" s="13" t="inlineStr">
        <is>
          <t>110138</t>
        </is>
      </c>
      <c r="E11" s="13" t="inlineStr">
        <is>
          <t>760137</t>
        </is>
      </c>
      <c r="F11" s="13" t="inlineStr">
        <is>
          <t>Blupura</t>
        </is>
      </c>
      <c r="G11" s="14" t="n">
        <v>2</v>
      </c>
      <c r="H11" s="15" t="n">
        <v>1</v>
      </c>
      <c r="I11" s="15">
        <f>IF(H11&lt;=1,G11,ROUNDUP(G11/H11,0))</f>
        <v/>
      </c>
      <c r="J11" s="16" t="n">
        <v>30.1</v>
      </c>
      <c r="K11" s="16" t="n"/>
      <c r="L11" s="16">
        <f>IF(N(J11)=0,"",I11*J11)</f>
        <v/>
      </c>
      <c r="M11" s="16">
        <f>IF(N(J11)&gt;0,"",IF(N(K11)=0,"",G11*K11))</f>
        <v/>
      </c>
      <c r="N11" s="13" t="inlineStr">
        <is>
          <t>Commande Monday</t>
        </is>
      </c>
      <c r="O11" s="13" t="inlineStr">
        <is>
          <t>12889411743</t>
        </is>
      </c>
      <c r="P11" s="12" t="inlineStr"/>
    </row>
    <row r="12">
      <c r="A12" s="11" t="inlineStr">
        <is>
          <t>France</t>
        </is>
      </c>
      <c r="B12" s="11" t="inlineStr">
        <is>
          <t>BW-0420</t>
        </is>
      </c>
      <c r="C12" s="12" t="inlineStr">
        <is>
          <t>Casing box 80</t>
        </is>
      </c>
      <c r="D12" s="13" t="inlineStr">
        <is>
          <t>110137</t>
        </is>
      </c>
      <c r="E12" s="13" t="inlineStr">
        <is>
          <t>760138</t>
        </is>
      </c>
      <c r="F12" s="13" t="inlineStr">
        <is>
          <t>Blupura</t>
        </is>
      </c>
      <c r="G12" s="14" t="n">
        <v>2</v>
      </c>
      <c r="H12" s="15" t="n">
        <v>1</v>
      </c>
      <c r="I12" s="15">
        <f>IF(H12&lt;=1,G12,ROUNDUP(G12/H12,0))</f>
        <v/>
      </c>
      <c r="J12" s="16" t="n">
        <v>102.7</v>
      </c>
      <c r="K12" s="16" t="n"/>
      <c r="L12" s="16">
        <f>IF(N(J12)=0,"",I12*J12)</f>
        <v/>
      </c>
      <c r="M12" s="16">
        <f>IF(N(J12)&gt;0,"",IF(N(K12)=0,"",G12*K12))</f>
        <v/>
      </c>
      <c r="N12" s="13" t="inlineStr">
        <is>
          <t>Commande Monday</t>
        </is>
      </c>
      <c r="O12" s="13" t="inlineStr">
        <is>
          <t>12889411743</t>
        </is>
      </c>
      <c r="P12" s="12" t="inlineStr"/>
    </row>
    <row r="13">
      <c r="A13" s="11" t="inlineStr">
        <is>
          <t>France</t>
        </is>
      </c>
      <c r="B13" s="11" t="inlineStr">
        <is>
          <t>BW-0428</t>
        </is>
      </c>
      <c r="C13" s="12" t="inlineStr">
        <is>
          <t>Spring type cable grand</t>
        </is>
      </c>
      <c r="D13" s="13" t="inlineStr">
        <is>
          <t>150052</t>
        </is>
      </c>
      <c r="E13" s="13" t="inlineStr">
        <is>
          <t>760131</t>
        </is>
      </c>
      <c r="F13" s="13" t="inlineStr">
        <is>
          <t>Blupura</t>
        </is>
      </c>
      <c r="G13" s="14" t="n">
        <v>10</v>
      </c>
      <c r="H13" s="15" t="n">
        <v>1</v>
      </c>
      <c r="I13" s="15">
        <f>IF(H13&lt;=1,G13,ROUNDUP(G13/H13,0))</f>
        <v/>
      </c>
      <c r="J13" s="16" t="n">
        <v>3.7</v>
      </c>
      <c r="K13" s="16" t="n"/>
      <c r="L13" s="16">
        <f>IF(N(J13)=0,"",I13*J13)</f>
        <v/>
      </c>
      <c r="M13" s="16">
        <f>IF(N(J13)&gt;0,"",IF(N(K13)=0,"",G13*K13))</f>
        <v/>
      </c>
      <c r="N13" s="13" t="inlineStr">
        <is>
          <t>Commande Monday</t>
        </is>
      </c>
      <c r="O13" s="13" t="inlineStr">
        <is>
          <t>12889411743</t>
        </is>
      </c>
      <c r="P13" s="12" t="inlineStr"/>
    </row>
    <row r="14">
      <c r="A14" s="11" t="inlineStr">
        <is>
          <t>France</t>
        </is>
      </c>
      <c r="B14" s="11" t="inlineStr">
        <is>
          <t>BW-0186</t>
        </is>
      </c>
      <c r="C14" s="12" t="inlineStr">
        <is>
          <t>Cold thermostat - ice bank</t>
        </is>
      </c>
      <c r="D14" s="13" t="inlineStr">
        <is>
          <t>150031</t>
        </is>
      </c>
      <c r="E14" s="13" t="inlineStr">
        <is>
          <t>760041</t>
        </is>
      </c>
      <c r="F14" s="13" t="inlineStr">
        <is>
          <t>Blupura</t>
        </is>
      </c>
      <c r="G14" s="14" t="n">
        <v>20</v>
      </c>
      <c r="H14" s="15" t="n">
        <v>1</v>
      </c>
      <c r="I14" s="15">
        <f>IF(H14&lt;=1,G14,ROUNDUP(G14/H14,0))</f>
        <v/>
      </c>
      <c r="J14" s="16" t="n">
        <v>13.4</v>
      </c>
      <c r="K14" s="16" t="n">
        <v>24</v>
      </c>
      <c r="L14" s="16">
        <f>IF(N(J14)=0,"",I14*J14)</f>
        <v/>
      </c>
      <c r="M14" s="16">
        <f>IF(N(J14)&gt;0,"",IF(N(K14)=0,"",G14*K14))</f>
        <v/>
      </c>
      <c r="N14" s="13" t="inlineStr">
        <is>
          <t>Commande Monday</t>
        </is>
      </c>
      <c r="O14" s="13" t="inlineStr">
        <is>
          <t>12889411743</t>
        </is>
      </c>
      <c r="P14" s="12" t="inlineStr"/>
    </row>
    <row r="15">
      <c r="A15" s="11" t="inlineStr">
        <is>
          <t>France</t>
        </is>
      </c>
      <c r="B15" s="11" t="inlineStr">
        <is>
          <t>BW-0424</t>
        </is>
      </c>
      <c r="C15" s="12" t="inlineStr">
        <is>
          <t>Bulkhead 8 mm</t>
        </is>
      </c>
      <c r="D15" s="13" t="inlineStr">
        <is>
          <t>140099</t>
        </is>
      </c>
      <c r="E15" s="13" t="inlineStr">
        <is>
          <t>760073</t>
        </is>
      </c>
      <c r="F15" s="13" t="inlineStr">
        <is>
          <t>Blupura</t>
        </is>
      </c>
      <c r="G15" s="14" t="n">
        <v>10</v>
      </c>
      <c r="H15" s="17" t="n">
        <v>10</v>
      </c>
      <c r="I15" s="15">
        <f>IF(H15&lt;=1,G15,ROUNDUP(G15/H15,0))</f>
        <v/>
      </c>
      <c r="J15" s="16" t="n">
        <v>28</v>
      </c>
      <c r="K15" s="16" t="n"/>
      <c r="L15" s="16">
        <f>IF(N(J15)=0,"",I15*J15)</f>
        <v/>
      </c>
      <c r="M15" s="16">
        <f>IF(N(J15)&gt;0,"",IF(N(K15)=0,"",G15*K15))</f>
        <v/>
      </c>
      <c r="N15" s="13" t="inlineStr">
        <is>
          <t>Commande Monday</t>
        </is>
      </c>
      <c r="O15" s="13" t="inlineStr">
        <is>
          <t>12889411743</t>
        </is>
      </c>
      <c r="P15" s="12" t="inlineStr"/>
    </row>
    <row r="16">
      <c r="A16" s="11" t="inlineStr">
        <is>
          <t>France</t>
        </is>
      </c>
      <c r="B16" s="11" t="inlineStr">
        <is>
          <t>BW-0425</t>
        </is>
      </c>
      <c r="C16" s="12" t="inlineStr">
        <is>
          <t>Iec socket</t>
        </is>
      </c>
      <c r="D16" s="13" t="inlineStr">
        <is>
          <t>150094</t>
        </is>
      </c>
      <c r="E16" s="13" t="inlineStr">
        <is>
          <t>760080</t>
        </is>
      </c>
      <c r="F16" s="13" t="inlineStr">
        <is>
          <t>Blupura</t>
        </is>
      </c>
      <c r="G16" s="14" t="n">
        <v>5</v>
      </c>
      <c r="H16" s="15" t="n">
        <v>1</v>
      </c>
      <c r="I16" s="15">
        <f>IF(H16&lt;=1,G16,ROUNDUP(G16/H16,0))</f>
        <v/>
      </c>
      <c r="J16" s="16" t="n">
        <v>1.65</v>
      </c>
      <c r="K16" s="16" t="n"/>
      <c r="L16" s="16">
        <f>IF(N(J16)=0,"",I16*J16)</f>
        <v/>
      </c>
      <c r="M16" s="16">
        <f>IF(N(J16)&gt;0,"",IF(N(K16)=0,"",G16*K16))</f>
        <v/>
      </c>
      <c r="N16" s="13" t="inlineStr">
        <is>
          <t>Commande Monday</t>
        </is>
      </c>
      <c r="O16" s="13" t="inlineStr">
        <is>
          <t>12889411743</t>
        </is>
      </c>
      <c r="P16" s="12" t="inlineStr"/>
    </row>
    <row r="17">
      <c r="A17" s="11" t="inlineStr">
        <is>
          <t>France</t>
        </is>
      </c>
      <c r="B17" s="11" t="inlineStr">
        <is>
          <t>BW-0426</t>
        </is>
      </c>
      <c r="C17" s="12" t="inlineStr">
        <is>
          <t>General power switch</t>
        </is>
      </c>
      <c r="D17" s="13" t="inlineStr">
        <is>
          <t>150072</t>
        </is>
      </c>
      <c r="E17" s="13" t="inlineStr">
        <is>
          <t>760217</t>
        </is>
      </c>
      <c r="F17" s="13" t="inlineStr">
        <is>
          <t>Blupura</t>
        </is>
      </c>
      <c r="G17" s="14" t="n">
        <v>5</v>
      </c>
      <c r="H17" s="15" t="n">
        <v>1</v>
      </c>
      <c r="I17" s="15">
        <f>IF(H17&lt;=1,G17,ROUNDUP(G17/H17,0))</f>
        <v/>
      </c>
      <c r="J17" s="16" t="n">
        <v>4.1</v>
      </c>
      <c r="K17" s="16" t="n"/>
      <c r="L17" s="16">
        <f>IF(N(J17)=0,"",I17*J17)</f>
        <v/>
      </c>
      <c r="M17" s="16">
        <f>IF(N(J17)&gt;0,"",IF(N(K17)=0,"",G17*K17))</f>
        <v/>
      </c>
      <c r="N17" s="13" t="inlineStr">
        <is>
          <t>Commande Monday</t>
        </is>
      </c>
      <c r="O17" s="13" t="inlineStr">
        <is>
          <t>12889411743</t>
        </is>
      </c>
      <c r="P17" s="12" t="inlineStr"/>
    </row>
    <row r="18">
      <c r="A18" s="11" t="inlineStr">
        <is>
          <t>France</t>
        </is>
      </c>
      <c r="B18" s="11" t="inlineStr">
        <is>
          <t>BW-0195</t>
        </is>
      </c>
      <c r="C18" s="12" t="inlineStr">
        <is>
          <t>Fan 120x120x38</t>
        </is>
      </c>
      <c r="D18" s="13" t="inlineStr">
        <is>
          <t>750243</t>
        </is>
      </c>
      <c r="E18" s="13" t="inlineStr">
        <is>
          <t>760049</t>
        </is>
      </c>
      <c r="F18" s="13" t="inlineStr">
        <is>
          <t>Blupura</t>
        </is>
      </c>
      <c r="G18" s="14" t="n">
        <v>5</v>
      </c>
      <c r="H18" s="15" t="n">
        <v>1</v>
      </c>
      <c r="I18" s="15">
        <f>IF(H18&lt;=1,G18,ROUNDUP(G18/H18,0))</f>
        <v/>
      </c>
      <c r="J18" s="16" t="n">
        <v>23.8</v>
      </c>
      <c r="K18" s="16" t="n">
        <v>40</v>
      </c>
      <c r="L18" s="16">
        <f>IF(N(J18)=0,"",I18*J18)</f>
        <v/>
      </c>
      <c r="M18" s="16">
        <f>IF(N(J18)&gt;0,"",IF(N(K18)=0,"",G18*K18))</f>
        <v/>
      </c>
      <c r="N18" s="13" t="inlineStr">
        <is>
          <t>Commande Monday</t>
        </is>
      </c>
      <c r="O18" s="13" t="inlineStr">
        <is>
          <t>12889411743</t>
        </is>
      </c>
      <c r="P18" s="12" t="inlineStr"/>
    </row>
    <row r="19">
      <c r="A19" s="11" t="inlineStr">
        <is>
          <t>France</t>
        </is>
      </c>
      <c r="B19" s="18" t="inlineStr"/>
      <c r="C19" s="12" t="inlineStr">
        <is>
          <t>Compresseur BOX 80</t>
        </is>
      </c>
      <c r="D19" s="13" t="inlineStr">
        <is>
          <t>—</t>
        </is>
      </c>
      <c r="E19" s="13" t="inlineStr">
        <is>
          <t>—</t>
        </is>
      </c>
      <c r="F19" s="13" t="inlineStr">
        <is>
          <t>—</t>
        </is>
      </c>
      <c r="G19" s="14" t="n">
        <v>1</v>
      </c>
      <c r="H19" s="15" t="n">
        <v>1</v>
      </c>
      <c r="I19" s="15">
        <f>IF(H19&lt;=1,G19,ROUNDUP(G19/H19,0))</f>
        <v/>
      </c>
      <c r="J19" s="16" t="n"/>
      <c r="K19" s="16" t="n"/>
      <c r="L19" s="16">
        <f>IF(N(J19)=0,"",I19*J19)</f>
        <v/>
      </c>
      <c r="M19" s="16">
        <f>IF(N(J19)&gt;0,"",IF(N(K19)=0,"",G19*K19))</f>
        <v/>
      </c>
      <c r="N19" s="13" t="inlineStr">
        <is>
          <t>Claim ouvert</t>
        </is>
      </c>
      <c r="O19" s="13" t="inlineStr">
        <is>
          <t>12759710752</t>
        </is>
      </c>
      <c r="P19" s="19" t="inlineStr">
        <is>
          <t>Aucun compresseur au référentiel BOX 80. Tarif Blupura 2024 : 5 compresseurs possibles — modèle à identifier.</t>
        </is>
      </c>
    </row>
    <row r="20">
      <c r="A20" s="11" t="inlineStr">
        <is>
          <t>France</t>
        </is>
      </c>
      <c r="B20" s="18" t="inlineStr"/>
      <c r="C20" s="12" t="inlineStr">
        <is>
          <t>Électrovanne d'entrée BOX 80</t>
        </is>
      </c>
      <c r="D20" s="13" t="inlineStr">
        <is>
          <t>—</t>
        </is>
      </c>
      <c r="E20" s="13" t="inlineStr">
        <is>
          <t>—</t>
        </is>
      </c>
      <c r="F20" s="13" t="inlineStr">
        <is>
          <t>—</t>
        </is>
      </c>
      <c r="G20" s="14" t="n">
        <v>1</v>
      </c>
      <c r="H20" s="15" t="n">
        <v>1</v>
      </c>
      <c r="I20" s="15">
        <f>IF(H20&lt;=1,G20,ROUNDUP(G20/H20,0))</f>
        <v/>
      </c>
      <c r="J20" s="16" t="n"/>
      <c r="K20" s="16" t="n"/>
      <c r="L20" s="16">
        <f>IF(N(J20)=0,"",I20*J20)</f>
        <v/>
      </c>
      <c r="M20" s="16">
        <f>IF(N(J20)&gt;0,"",IF(N(K20)=0,"",G20*K20))</f>
        <v/>
      </c>
      <c r="N20" s="13" t="inlineStr">
        <is>
          <t>Claim ouvert</t>
        </is>
      </c>
      <c r="O20" s="13" t="inlineStr">
        <is>
          <t>12759640381</t>
        </is>
      </c>
      <c r="P20" s="19" t="inlineStr">
        <is>
          <t>Aucune électrovanne d'entrée au référentiel BOX 80. Tarif 2024 : 4 candidats (150069, 750376) — à identifier.</t>
        </is>
      </c>
    </row>
    <row r="21">
      <c r="A21" s="11" t="inlineStr">
        <is>
          <t>Suisse</t>
        </is>
      </c>
      <c r="B21" s="11" t="inlineStr">
        <is>
          <t>BW-0191</t>
        </is>
      </c>
      <c r="C21" s="12" t="inlineStr">
        <is>
          <t>Fan 120x120</t>
        </is>
      </c>
      <c r="D21" s="13" t="inlineStr">
        <is>
          <t>750244</t>
        </is>
      </c>
      <c r="E21" s="13" t="inlineStr">
        <is>
          <t>760032</t>
        </is>
      </c>
      <c r="F21" s="13" t="inlineStr">
        <is>
          <t>Blupura</t>
        </is>
      </c>
      <c r="G21" s="14" t="n">
        <v>30</v>
      </c>
      <c r="H21" s="15" t="n">
        <v>1</v>
      </c>
      <c r="I21" s="15">
        <f>IF(H21&lt;=1,G21,ROUNDUP(G21/H21,0))</f>
        <v/>
      </c>
      <c r="J21" s="16" t="n">
        <v>24.8</v>
      </c>
      <c r="K21" s="16" t="n">
        <v>42</v>
      </c>
      <c r="L21" s="16">
        <f>IF(N(J21)=0,"",I21*J21)</f>
        <v/>
      </c>
      <c r="M21" s="16">
        <f>IF(N(J21)&gt;0,"",IF(N(K21)=0,"",G21*K21))</f>
        <v/>
      </c>
      <c r="N21" s="13" t="inlineStr">
        <is>
          <t>Commande Monday</t>
        </is>
      </c>
      <c r="O21" s="13" t="inlineStr">
        <is>
          <t>12889827793</t>
        </is>
      </c>
      <c r="P21" s="19" t="inlineStr">
        <is>
          <t>Choix validé Blupura 750244. Le tarif 2024 prouve que 120232 (BW-0191) et 750244 sont le même article (760032). BW-0988 « Axial fan 120x120x25 » du BOX 20 est un doublon de SKU pour cette même pièce.</t>
        </is>
      </c>
    </row>
    <row r="22">
      <c r="A22" s="11" t="inlineStr">
        <is>
          <t>Suisse</t>
        </is>
      </c>
      <c r="B22" s="11" t="inlineStr">
        <is>
          <t>BW-0301</t>
        </is>
      </c>
      <c r="C22" s="12" t="inlineStr">
        <is>
          <t>PRO2 Power adapter 230V/24VDC 1.5A (Type A)</t>
        </is>
      </c>
      <c r="D22" s="13" t="inlineStr">
        <is>
          <t>174391</t>
        </is>
      </c>
      <c r="E22" s="13" t="inlineStr">
        <is>
          <t>—</t>
        </is>
      </c>
      <c r="F22" s="13" t="inlineStr">
        <is>
          <t>Borg&amp;Overström</t>
        </is>
      </c>
      <c r="G22" s="14" t="n">
        <v>20</v>
      </c>
      <c r="H22" s="15" t="n">
        <v>1</v>
      </c>
      <c r="I22" s="15">
        <f>IF(H22&lt;=1,G22,ROUNDUP(G22/H22,0))</f>
        <v/>
      </c>
      <c r="J22" s="16" t="n"/>
      <c r="K22" s="16" t="n">
        <v>40</v>
      </c>
      <c r="L22" s="16">
        <f>IF(N(J22)=0,"",I22*J22)</f>
        <v/>
      </c>
      <c r="M22" s="16">
        <f>IF(N(J22)&gt;0,"",IF(N(K22)=0,"",G22*K22))</f>
        <v/>
      </c>
      <c r="N22" s="13" t="inlineStr">
        <is>
          <t>Commande Monday</t>
        </is>
      </c>
      <c r="O22" s="13" t="inlineStr">
        <is>
          <t>12889827793</t>
        </is>
      </c>
      <c r="P22" s="19" t="inlineStr">
        <is>
          <t>Demandé en 230-12V ; BW-0301 est en 230V/24VDC. Choix validé.</t>
        </is>
      </c>
    </row>
    <row r="23">
      <c r="A23" s="11" t="inlineStr">
        <is>
          <t>Suisse</t>
        </is>
      </c>
      <c r="B23" s="11" t="inlineStr">
        <is>
          <t>BW-0507</t>
        </is>
      </c>
      <c r="C23" s="12" t="inlineStr">
        <is>
          <t>PRO2 - Drip Tray Set without drainage black</t>
        </is>
      </c>
      <c r="D23" s="13" t="inlineStr">
        <is>
          <t>125840</t>
        </is>
      </c>
      <c r="E23" s="13" t="inlineStr">
        <is>
          <t>—</t>
        </is>
      </c>
      <c r="F23" s="13" t="inlineStr">
        <is>
          <t>Borg&amp;Overström</t>
        </is>
      </c>
      <c r="G23" s="14" t="n">
        <v>15</v>
      </c>
      <c r="H23" s="15" t="n">
        <v>1</v>
      </c>
      <c r="I23" s="15">
        <f>IF(H23&lt;=1,G23,ROUNDUP(G23/H23,0))</f>
        <v/>
      </c>
      <c r="J23" s="16" t="n"/>
      <c r="K23" s="16" t="n"/>
      <c r="L23" s="16">
        <f>IF(N(J23)=0,"",I23*J23)</f>
        <v/>
      </c>
      <c r="M23" s="16">
        <f>IF(N(J23)&gt;0,"",IF(N(K23)=0,"",G23*K23))</f>
        <v/>
      </c>
      <c r="N23" s="13" t="inlineStr">
        <is>
          <t>Commande Monday</t>
        </is>
      </c>
      <c r="O23" s="13" t="inlineStr">
        <is>
          <t>12889827793</t>
        </is>
      </c>
      <c r="P23" s="19" t="inlineStr">
        <is>
          <t>Ligne dupliquée dans Monday — 15 retenu. Pièce Borg&amp;Overström, absente du tarif Blupura : prix à demander.</t>
        </is>
      </c>
    </row>
    <row r="24">
      <c r="A24" s="11" t="inlineStr">
        <is>
          <t>Suisse</t>
        </is>
      </c>
      <c r="B24" s="11" t="inlineStr">
        <is>
          <t>BW-0164</t>
        </is>
      </c>
      <c r="C24" s="12" t="inlineStr">
        <is>
          <t>PRO1 - PCB Control board - A</t>
        </is>
      </c>
      <c r="D24" s="13" t="inlineStr">
        <is>
          <t>637107</t>
        </is>
      </c>
      <c r="E24" s="13" t="inlineStr">
        <is>
          <t>—</t>
        </is>
      </c>
      <c r="F24" s="13" t="inlineStr">
        <is>
          <t>Borg&amp;Overström</t>
        </is>
      </c>
      <c r="G24" s="14" t="n">
        <v>20</v>
      </c>
      <c r="H24" s="15" t="n">
        <v>1</v>
      </c>
      <c r="I24" s="15">
        <f>IF(H24&lt;=1,G24,ROUNDUP(G24/H24,0))</f>
        <v/>
      </c>
      <c r="J24" s="16" t="n"/>
      <c r="K24" s="16" t="n">
        <v>195</v>
      </c>
      <c r="L24" s="16">
        <f>IF(N(J24)=0,"",I24*J24)</f>
        <v/>
      </c>
      <c r="M24" s="16">
        <f>IF(N(J24)&gt;0,"",IF(N(K24)=0,"",G24*K24))</f>
        <v/>
      </c>
      <c r="N24" s="13" t="inlineStr">
        <is>
          <t>Commande Monday</t>
        </is>
      </c>
      <c r="O24" s="13" t="inlineStr">
        <is>
          <t>12889827793</t>
        </is>
      </c>
      <c r="P24" s="19" t="inlineStr">
        <is>
          <t>Ligne dupliquée dans Monday — 20 retenu.</t>
        </is>
      </c>
    </row>
    <row r="25">
      <c r="A25" s="11" t="inlineStr">
        <is>
          <t>Suisse</t>
        </is>
      </c>
      <c r="B25" s="18" t="inlineStr"/>
      <c r="C25" s="12" t="inlineStr">
        <is>
          <t>Sonde BOX PRO2 V2</t>
        </is>
      </c>
      <c r="D25" s="13" t="inlineStr">
        <is>
          <t>—</t>
        </is>
      </c>
      <c r="E25" s="13" t="inlineStr">
        <is>
          <t>—</t>
        </is>
      </c>
      <c r="F25" s="13" t="inlineStr">
        <is>
          <t>—</t>
        </is>
      </c>
      <c r="G25" s="14" t="n">
        <v>20</v>
      </c>
      <c r="H25" s="15" t="n">
        <v>1</v>
      </c>
      <c r="I25" s="15">
        <f>IF(H25&lt;=1,G25,ROUNDUP(G25/H25,0))</f>
        <v/>
      </c>
      <c r="J25" s="16" t="n"/>
      <c r="K25" s="16" t="n"/>
      <c r="L25" s="16">
        <f>IF(N(J25)=0,"",I25*J25)</f>
        <v/>
      </c>
      <c r="M25" s="16">
        <f>IF(N(J25)&gt;0,"",IF(N(K25)=0,"",G25*K25))</f>
        <v/>
      </c>
      <c r="N25" s="13" t="inlineStr">
        <is>
          <t>Commande Monday</t>
        </is>
      </c>
      <c r="O25" s="13" t="inlineStr">
        <is>
          <t>12889827793</t>
        </is>
      </c>
      <c r="P25" s="19" t="inlineStr">
        <is>
          <t>Aucune sonde PRO2 au référentiel — SKU à renseigner.</t>
        </is>
      </c>
    </row>
    <row r="26">
      <c r="A26" s="11" t="inlineStr">
        <is>
          <t>Suisse</t>
        </is>
      </c>
      <c r="B26" s="11" t="inlineStr">
        <is>
          <t>BW-0179</t>
        </is>
      </c>
      <c r="C26" s="12" t="inlineStr">
        <is>
          <t>PRO2 Solenoids</t>
        </is>
      </c>
      <c r="D26" s="13" t="inlineStr">
        <is>
          <t>173241</t>
        </is>
      </c>
      <c r="E26" s="13" t="inlineStr">
        <is>
          <t>—</t>
        </is>
      </c>
      <c r="F26" s="13" t="inlineStr">
        <is>
          <t>Borg&amp;Overström</t>
        </is>
      </c>
      <c r="G26" s="14" t="n">
        <v>1</v>
      </c>
      <c r="H26" s="15" t="n">
        <v>1</v>
      </c>
      <c r="I26" s="15">
        <f>IF(H26&lt;=1,G26,ROUNDUP(G26/H26,0))</f>
        <v/>
      </c>
      <c r="J26" s="16" t="n"/>
      <c r="K26" s="16" t="n">
        <v>22</v>
      </c>
      <c r="L26" s="16">
        <f>IF(N(J26)=0,"",I26*J26)</f>
        <v/>
      </c>
      <c r="M26" s="16">
        <f>IF(N(J26)&gt;0,"",IF(N(K26)=0,"",G26*K26))</f>
        <v/>
      </c>
      <c r="N26" s="13" t="inlineStr">
        <is>
          <t>Claim ouvert</t>
        </is>
      </c>
      <c r="O26" s="13" t="inlineStr">
        <is>
          <t>12217762646</t>
        </is>
      </c>
      <c r="P26" s="19" t="inlineStr">
        <is>
          <t>Diagnostic technicien : « il faut sûrement changer l'électrovanne ».</t>
        </is>
      </c>
    </row>
    <row r="27">
      <c r="A27" s="11" t="inlineStr">
        <is>
          <t>Suisse</t>
        </is>
      </c>
      <c r="B27" s="11" t="inlineStr">
        <is>
          <t>BW-0974</t>
        </is>
      </c>
      <c r="C27" s="12" t="inlineStr">
        <is>
          <t>Gearbox - Hat without handle (x5)</t>
        </is>
      </c>
      <c r="D27" s="13" t="inlineStr">
        <is>
          <t>P040038</t>
        </is>
      </c>
      <c r="E27" s="13" t="inlineStr">
        <is>
          <t>—</t>
        </is>
      </c>
      <c r="F27" s="13" t="inlineStr">
        <is>
          <t>—</t>
        </is>
      </c>
      <c r="G27" s="14" t="n">
        <v>1</v>
      </c>
      <c r="H27" s="15" t="n">
        <v>1</v>
      </c>
      <c r="I27" s="15">
        <f>IF(H27&lt;=1,G27,ROUNDUP(G27/H27,0))</f>
        <v/>
      </c>
      <c r="J27" s="16" t="n"/>
      <c r="K27" s="16" t="n"/>
      <c r="L27" s="16">
        <f>IF(N(J27)=0,"",I27*J27)</f>
        <v/>
      </c>
      <c r="M27" s="16">
        <f>IF(N(J27)&gt;0,"",IF(N(K27)=0,"",G27*K27))</f>
        <v/>
      </c>
      <c r="N27" s="13" t="inlineStr">
        <is>
          <t>Claim ouvert</t>
        </is>
      </c>
      <c r="O27" s="13" t="inlineStr">
        <is>
          <t>12345567586</t>
        </is>
      </c>
      <c r="P27" s="19" t="inlineStr">
        <is>
          <t>« Fuite au chapeau de la gearbox ». Superinox, conditionné par 5.</t>
        </is>
      </c>
    </row>
    <row r="28">
      <c r="A28" s="11" t="inlineStr">
        <is>
          <t>Suisse</t>
        </is>
      </c>
      <c r="B28" s="11" t="inlineStr">
        <is>
          <t>BW-0994</t>
        </is>
      </c>
      <c r="C28" s="12" t="inlineStr">
        <is>
          <t>Outer casing / cabinet, black</t>
        </is>
      </c>
      <c r="D28" s="13" t="inlineStr">
        <is>
          <t>—</t>
        </is>
      </c>
      <c r="E28" s="13" t="inlineStr">
        <is>
          <t>—</t>
        </is>
      </c>
      <c r="F28" s="13" t="inlineStr">
        <is>
          <t>—</t>
        </is>
      </c>
      <c r="G28" s="14" t="n">
        <v>1</v>
      </c>
      <c r="H28" s="15" t="n">
        <v>1</v>
      </c>
      <c r="I28" s="15">
        <f>IF(H28&lt;=1,G28,ROUNDUP(G28/H28,0))</f>
        <v/>
      </c>
      <c r="J28" s="16" t="n"/>
      <c r="K28" s="16" t="n"/>
      <c r="L28" s="16">
        <f>IF(N(J28)=0,"",I28*J28)</f>
        <v/>
      </c>
      <c r="M28" s="16">
        <f>IF(N(J28)&gt;0,"",IF(N(K28)=0,"",G28*K28))</f>
        <v/>
      </c>
      <c r="N28" s="13" t="inlineStr">
        <is>
          <t>Claim ouvert</t>
        </is>
      </c>
      <c r="O28" s="13" t="inlineStr">
        <is>
          <t>12891544139</t>
        </is>
      </c>
      <c r="P28" s="19" t="inlineStr">
        <is>
          <t>« Carrosserie HS ». Pièce BOX 20 sans référence fournisseur.</t>
        </is>
      </c>
    </row>
    <row r="29">
      <c r="A29" s="11" t="inlineStr">
        <is>
          <t>Suisse</t>
        </is>
      </c>
      <c r="B29" s="18" t="inlineStr"/>
      <c r="C29" s="12" t="inlineStr">
        <is>
          <t>Bouton BAR2 (position haut-droite)</t>
        </is>
      </c>
      <c r="D29" s="13" t="inlineStr">
        <is>
          <t>—</t>
        </is>
      </c>
      <c r="E29" s="13" t="inlineStr">
        <is>
          <t>—</t>
        </is>
      </c>
      <c r="F29" s="13" t="inlineStr">
        <is>
          <t>—</t>
        </is>
      </c>
      <c r="G29" s="14" t="n">
        <v>1</v>
      </c>
      <c r="H29" s="15" t="n">
        <v>1</v>
      </c>
      <c r="I29" s="15">
        <f>IF(H29&lt;=1,G29,ROUNDUP(G29/H29,0))</f>
        <v/>
      </c>
      <c r="J29" s="16" t="n"/>
      <c r="K29" s="16" t="n"/>
      <c r="L29" s="16">
        <f>IF(N(J29)=0,"",I29*J29)</f>
        <v/>
      </c>
      <c r="M29" s="16">
        <f>IF(N(J29)&gt;0,"",IF(N(K29)=0,"",G29*K29))</f>
        <v/>
      </c>
      <c r="N29" s="13" t="inlineStr">
        <is>
          <t>Claim ouvert</t>
        </is>
      </c>
      <c r="O29" s="13" t="inlineStr">
        <is>
          <t>12498897081</t>
        </is>
      </c>
      <c r="P29" s="19" t="inlineStr">
        <is>
          <t>4 boutons BAR2 possibles (810695-810698) — position à préciser.</t>
        </is>
      </c>
    </row>
    <row r="30">
      <c r="A30" s="11" t="inlineStr">
        <is>
          <t>Suisse</t>
        </is>
      </c>
      <c r="B30" s="18" t="inlineStr"/>
      <c r="C30" s="12" t="inlineStr">
        <is>
          <t>Fuite CO2 BOX 20 — pièce à identifier</t>
        </is>
      </c>
      <c r="D30" s="13" t="inlineStr">
        <is>
          <t>—</t>
        </is>
      </c>
      <c r="E30" s="13" t="inlineStr">
        <is>
          <t>—</t>
        </is>
      </c>
      <c r="F30" s="13" t="inlineStr">
        <is>
          <t>—</t>
        </is>
      </c>
      <c r="G30" s="14" t="n">
        <v>1</v>
      </c>
      <c r="H30" s="15" t="n">
        <v>1</v>
      </c>
      <c r="I30" s="15">
        <f>IF(H30&lt;=1,G30,ROUNDUP(G30/H30,0))</f>
        <v/>
      </c>
      <c r="J30" s="16" t="n"/>
      <c r="K30" s="16" t="n"/>
      <c r="L30" s="16">
        <f>IF(N(J30)=0,"",I30*J30)</f>
        <v/>
      </c>
      <c r="M30" s="16">
        <f>IF(N(J30)&gt;0,"",IF(N(K30)=0,"",G30*K30))</f>
        <v/>
      </c>
      <c r="N30" s="13" t="inlineStr">
        <is>
          <t>Claim ouvert</t>
        </is>
      </c>
      <c r="O30" s="13" t="inlineStr">
        <is>
          <t>12891695968</t>
        </is>
      </c>
      <c r="P30" s="19" t="inlineStr">
        <is>
          <t>Fuite long terme, pièce non diagnostiquée.</t>
        </is>
      </c>
    </row>
    <row r="31">
      <c r="A31" s="11" t="inlineStr">
        <is>
          <t>UK</t>
        </is>
      </c>
      <c r="B31" s="11" t="inlineStr">
        <is>
          <t>BW-0295</t>
        </is>
      </c>
      <c r="C31" s="12" t="inlineStr">
        <is>
          <t>BAR2 - Drip tray</t>
        </is>
      </c>
      <c r="D31" s="13" t="inlineStr">
        <is>
          <t>750309</t>
        </is>
      </c>
      <c r="E31" s="13" t="inlineStr">
        <is>
          <t>760622</t>
        </is>
      </c>
      <c r="F31" s="13" t="inlineStr">
        <is>
          <t>Blupura</t>
        </is>
      </c>
      <c r="G31" s="14" t="n">
        <v>1</v>
      </c>
      <c r="H31" s="15" t="n">
        <v>1</v>
      </c>
      <c r="I31" s="15">
        <f>IF(H31&lt;=1,G31,ROUNDUP(G31/H31,0))</f>
        <v/>
      </c>
      <c r="J31" s="16" t="n">
        <v>51.9</v>
      </c>
      <c r="K31" s="16" t="n">
        <v>90</v>
      </c>
      <c r="L31" s="16">
        <f>IF(N(J31)=0,"",I31*J31)</f>
        <v/>
      </c>
      <c r="M31" s="16">
        <f>IF(N(J31)&gt;0,"",IF(N(K31)=0,"",G31*K31))</f>
        <v/>
      </c>
      <c r="N31" s="13" t="inlineStr">
        <is>
          <t>Claim ouvert</t>
        </is>
      </c>
      <c r="O31" s="13" t="inlineStr">
        <is>
          <t>12232314055</t>
        </is>
      </c>
      <c r="P31" s="19" t="inlineStr">
        <is>
          <t>« Drip tray cracked and leaking ».</t>
        </is>
      </c>
    </row>
    <row r="32">
      <c r="A32" s="11" t="inlineStr">
        <is>
          <t>Émirats</t>
        </is>
      </c>
      <c r="B32" s="11" t="inlineStr">
        <is>
          <t>BW-0172</t>
        </is>
      </c>
      <c r="C32" s="12" t="inlineStr">
        <is>
          <t>8mm PRV</t>
        </is>
      </c>
      <c r="D32" s="13" t="inlineStr">
        <is>
          <t>701076</t>
        </is>
      </c>
      <c r="E32" s="13" t="inlineStr">
        <is>
          <t>—</t>
        </is>
      </c>
      <c r="F32" s="13" t="inlineStr">
        <is>
          <t>Borg&amp;Overström</t>
        </is>
      </c>
      <c r="G32" s="14" t="n">
        <v>1</v>
      </c>
      <c r="H32" s="15" t="n">
        <v>1</v>
      </c>
      <c r="I32" s="15">
        <f>IF(H32&lt;=1,G32,ROUNDUP(G32/H32,0))</f>
        <v/>
      </c>
      <c r="J32" s="16" t="n"/>
      <c r="K32" s="16" t="n">
        <v>13</v>
      </c>
      <c r="L32" s="16">
        <f>IF(N(J32)=0,"",I32*J32)</f>
        <v/>
      </c>
      <c r="M32" s="16">
        <f>IF(N(J32)&gt;0,"",IF(N(K32)=0,"",G32*K32))</f>
        <v/>
      </c>
      <c r="N32" s="13" t="inlineStr">
        <is>
          <t>Claim ouvert</t>
        </is>
      </c>
      <c r="O32" s="13" t="inlineStr">
        <is>
          <t>18083626539</t>
        </is>
      </c>
      <c r="P32" s="19" t="inlineStr">
        <is>
          <t>« Release pressure valve — new spare part needed ».</t>
        </is>
      </c>
    </row>
    <row r="33">
      <c r="A33" s="11" t="inlineStr">
        <is>
          <t>Émirats</t>
        </is>
      </c>
      <c r="B33" s="18" t="inlineStr"/>
      <c r="C33" s="12" t="inlineStr">
        <is>
          <t>Spare parts manual capper (Tower)</t>
        </is>
      </c>
      <c r="D33" s="13" t="inlineStr">
        <is>
          <t>—</t>
        </is>
      </c>
      <c r="E33" s="13" t="inlineStr">
        <is>
          <t>—</t>
        </is>
      </c>
      <c r="F33" s="13" t="inlineStr">
        <is>
          <t>—</t>
        </is>
      </c>
      <c r="G33" s="14" t="n">
        <v>1</v>
      </c>
      <c r="H33" s="15" t="n">
        <v>1</v>
      </c>
      <c r="I33" s="15">
        <f>IF(H33&lt;=1,G33,ROUNDUP(G33/H33,0))</f>
        <v/>
      </c>
      <c r="J33" s="16" t="n"/>
      <c r="K33" s="16" t="n"/>
      <c r="L33" s="16">
        <f>IF(N(J33)=0,"",I33*J33)</f>
        <v/>
      </c>
      <c r="M33" s="16">
        <f>IF(N(J33)&gt;0,"",IF(N(K33)=0,"",G33*K33))</f>
        <v/>
      </c>
      <c r="N33" s="13" t="inlineStr">
        <is>
          <t>Claim ouvert</t>
        </is>
      </c>
      <c r="O33" s="13" t="inlineStr">
        <is>
          <t>10943979984</t>
        </is>
      </c>
      <c r="P33" s="19" t="inlineStr">
        <is>
          <t>Machine Tower / capper hors référentiel — SKU à créer.</t>
        </is>
      </c>
    </row>
    <row r="34">
      <c r="A34" s="6" t="inlineStr">
        <is>
          <t>TOTAL</t>
        </is>
      </c>
      <c r="B34" s="20" t="n"/>
      <c r="C34" s="20" t="n"/>
      <c r="D34" s="20" t="n"/>
      <c r="E34" s="20" t="n"/>
      <c r="F34" s="20" t="n"/>
      <c r="G34" s="7">
        <f>SUM(G5:G33)</f>
        <v/>
      </c>
      <c r="H34" s="20" t="n"/>
      <c r="I34" s="20" t="n"/>
      <c r="J34" s="20" t="n"/>
      <c r="K34" s="20" t="n"/>
      <c r="L34" s="21">
        <f>SUM(L5:L33)</f>
        <v/>
      </c>
      <c r="M34" s="21">
        <f>SUM(M5:M33)</f>
        <v/>
      </c>
      <c r="N34" s="20" t="n"/>
      <c r="O34" s="20" t="n"/>
      <c r="P34" s="6">
        <f>COUNTBLANK(B5:B33)&amp;" SKU à renseigner · "&amp;COUNTIFS(J5:J33,"",K5:K33,"")&amp;" ligne(s) sans aucun prix"</f>
        <v/>
      </c>
    </row>
    <row r="36">
      <c r="A36" s="2" t="inlineStr">
        <is>
          <t>Cellule SKU grisée : pièce identifiée mais sans référence BE WTR — à créer ou à faire préciser.</t>
        </is>
      </c>
    </row>
    <row r="37">
      <c r="A37" s="2" t="inlineStr">
        <is>
          <t>Colonne « Cond. » surlignée : Blupura vend cet article par lot. « Unités à cder » arrondit la quantité demandée au lot supérieur, et le total EUR porte sur les lots, pas sur les pièces.</t>
        </is>
      </c>
    </row>
    <row r="38">
      <c r="A38" s="2" t="inlineStr">
        <is>
          <t>Prix unit. EUR = tarif d'achat Blupura du 08.11.2024 (le plus récent). Prix cat. CHF = prix catalogue BE WTR 2022, conservé pour les pièces Borg&amp;Overström et Superinox absentes du tarif Blupura.</t>
        </is>
      </c>
    </row>
    <row r="39">
      <c r="A39" s="2" t="inlineStr">
        <is>
          <t>Les deux totaux sont disjoints et s'additionnent : le total CHF ne porte que sur les lignes sans prix d'achat Blupura (Borg&amp;Overström, Superinox). Une ligne chiffrée en euros n'est jamais recomptée en francs.</t>
        </is>
      </c>
    </row>
    <row r="40">
      <c r="A40" s="2" t="inlineStr">
        <is>
          <t>Bleu = quantité issue de Monday. Noir = donnée de référentiel ou calcul.</t>
        </is>
      </c>
    </row>
  </sheetData>
  <autoFilter ref="A4:P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1" customWidth="1" min="4" max="4"/>
    <col width="16" customWidth="1" min="5" max="5"/>
    <col width="32" customWidth="1" min="6" max="6"/>
    <col width="52" customWidth="1" min="7" max="7"/>
    <col width="26" customWidth="1" min="8" max="8"/>
    <col width="32" customWidth="1" min="9" max="9"/>
  </cols>
  <sheetData>
    <row r="1">
      <c r="A1" s="1" t="inlineStr">
        <is>
          <t>Vérification des 53 lignes ouvertes du Monday</t>
        </is>
      </c>
    </row>
    <row r="2">
      <c r="A2" s="2" t="inlineStr">
        <is>
          <t>Statuts non clôturés au 26.08.2026 : New (to repair) 47, In progress 3, At supplier 2, Stucked 1.</t>
        </is>
      </c>
    </row>
    <row r="4" ht="36" customHeight="1">
      <c r="A4" s="3" t="inlineStr">
        <is>
          <t>Item</t>
        </is>
      </c>
      <c r="B4" s="3" t="inlineStr">
        <is>
          <t>Pays</t>
        </is>
      </c>
      <c r="C4" s="3" t="inlineStr">
        <is>
          <t>Produit</t>
        </is>
      </c>
      <c r="D4" s="3" t="inlineStr">
        <is>
          <t>Date</t>
        </is>
      </c>
      <c r="E4" s="3" t="inlineStr">
        <is>
          <t>Statut</t>
        </is>
      </c>
      <c r="F4" s="3" t="inlineStr">
        <is>
          <t>Sujet</t>
        </is>
      </c>
      <c r="G4" s="3" t="inlineStr">
        <is>
          <t>Description</t>
        </is>
      </c>
      <c r="H4" s="3" t="inlineStr">
        <is>
          <t>Verdict</t>
        </is>
      </c>
      <c r="I4" s="3" t="inlineStr">
        <is>
          <t>Pièce retenue</t>
        </is>
      </c>
    </row>
    <row r="5">
      <c r="A5" s="13" t="inlineStr">
        <is>
          <t>12889411743</t>
        </is>
      </c>
      <c r="B5" s="11" t="inlineStr">
        <is>
          <t>France</t>
        </is>
      </c>
      <c r="C5" s="13" t="inlineStr">
        <is>
          <t>BW-0001 BOX 80</t>
        </is>
      </c>
      <c r="D5" s="13" t="inlineStr">
        <is>
          <t>2026-08-25</t>
        </is>
      </c>
      <c r="E5" s="13" t="inlineStr">
        <is>
          <t>New (to repair)</t>
        </is>
      </c>
      <c r="F5" s="12" t="inlineStr">
        <is>
          <t>order spare parts france</t>
        </is>
      </c>
      <c r="G5" s="12" t="inlineStr">
        <is>
          <t xml:space="preserve">BW-0416 5PC Bracket for Immersion Pump | BW-0183 20PC Immersion pump | BW-0184 6PC Pump 100L/h | BW-0417 3PC Motor for pump 100L/h | BW-0429 30PC Ice </t>
        </is>
      </c>
      <c r="H5" s="11" t="inlineStr">
        <is>
          <t>Commande formalisée</t>
        </is>
      </c>
      <c r="I5" s="12" t="inlineStr">
        <is>
          <t>14 SKU BOX 80</t>
        </is>
      </c>
    </row>
    <row r="6">
      <c r="A6" s="13" t="inlineStr">
        <is>
          <t>12889827793</t>
        </is>
      </c>
      <c r="B6" s="11" t="inlineStr">
        <is>
          <t>Suisse</t>
        </is>
      </c>
      <c r="C6" s="13" t="inlineStr">
        <is>
          <t>BW-0272.01 PRO2 Black</t>
        </is>
      </c>
      <c r="D6" s="13" t="inlineStr">
        <is>
          <t>2026-08-25</t>
        </is>
      </c>
      <c r="E6" s="13" t="inlineStr">
        <is>
          <t>New (to repair)</t>
        </is>
      </c>
      <c r="F6" s="12" t="inlineStr">
        <is>
          <t>spare parts suisse</t>
        </is>
      </c>
      <c r="G6" s="12" t="inlineStr">
        <is>
          <t>x30 Ventillateur BOX20 (compatible aussi BOX15) donc à voir chez quel fournisseur c'est moins cher (j'en ai beaucoup à réparer, et là j'ai tout utilis</t>
        </is>
      </c>
      <c r="H6" s="11" t="inlineStr">
        <is>
          <t>Commande formalisée</t>
        </is>
      </c>
      <c r="I6" s="12" t="inlineStr">
        <is>
          <t>5 lignes</t>
        </is>
      </c>
    </row>
    <row r="7">
      <c r="A7" s="13" t="inlineStr">
        <is>
          <t>12759640381</t>
        </is>
      </c>
      <c r="B7" s="11" t="inlineStr">
        <is>
          <t>France</t>
        </is>
      </c>
      <c r="C7" s="13" t="inlineStr">
        <is>
          <t>BW-0001 BOX 80</t>
        </is>
      </c>
      <c r="D7" s="13" t="inlineStr">
        <is>
          <t>2026-08-10</t>
        </is>
      </c>
      <c r="E7" s="13" t="inlineStr">
        <is>
          <t>New (to repair)</t>
        </is>
      </c>
      <c r="F7" s="12" t="inlineStr">
        <is>
          <t>NO SPARKLING WATER</t>
        </is>
      </c>
      <c r="G7" s="12" t="inlineStr">
        <is>
          <t>The inlet solenoid valve that supplies the CO₂ tank with water is completely blocked, and therefore the motor burnt out from being forced for too long</t>
        </is>
      </c>
      <c r="H7" s="11" t="inlineStr">
        <is>
          <t>Pièce déduite</t>
        </is>
      </c>
      <c r="I7" s="12" t="inlineStr">
        <is>
          <t>Électrovanne entrée — SKU à créer</t>
        </is>
      </c>
    </row>
    <row r="8">
      <c r="A8" s="13" t="inlineStr">
        <is>
          <t>12759710752</t>
        </is>
      </c>
      <c r="B8" s="11" t="inlineStr">
        <is>
          <t>France</t>
        </is>
      </c>
      <c r="C8" s="13" t="inlineStr">
        <is>
          <t>BW-0001 BOX 80</t>
        </is>
      </c>
      <c r="D8" s="13" t="inlineStr">
        <is>
          <t>2026-08-10</t>
        </is>
      </c>
      <c r="E8" s="13" t="inlineStr">
        <is>
          <t>New (to repair)</t>
        </is>
      </c>
      <c r="F8" s="12" t="inlineStr">
        <is>
          <t>NO REFRIGIRATION</t>
        </is>
      </c>
      <c r="G8" s="12" t="inlineStr">
        <is>
          <t>Everything is working properly, but the water is not cooling. The gas has escaped from the compressor.</t>
        </is>
      </c>
      <c r="H8" s="11" t="inlineStr">
        <is>
          <t>Pièce déduite</t>
        </is>
      </c>
      <c r="I8" s="12" t="inlineStr">
        <is>
          <t>Compresseur — SKU à créer</t>
        </is>
      </c>
    </row>
    <row r="9">
      <c r="A9" s="13" t="inlineStr">
        <is>
          <t>12345567586</t>
        </is>
      </c>
      <c r="B9" s="11" t="inlineStr">
        <is>
          <t>Suisse</t>
        </is>
      </c>
      <c r="C9" s="13" t="inlineStr">
        <is>
          <t>BW-0042 AQTiV COMBI</t>
        </is>
      </c>
      <c r="D9" s="13" t="inlineStr">
        <is>
          <t>2026-06-23</t>
        </is>
      </c>
      <c r="E9" s="13" t="inlineStr">
        <is>
          <t>New (to repair)</t>
        </is>
      </c>
      <c r="F9" s="12" t="inlineStr">
        <is>
          <t>Fuite gearbox</t>
        </is>
      </c>
      <c r="G9" s="12" t="inlineStr">
        <is>
          <t>Fuite au niveau du chapeau de la gearbox</t>
        </is>
      </c>
      <c r="H9" s="11" t="inlineStr">
        <is>
          <t>Pièce déduite</t>
        </is>
      </c>
      <c r="I9" s="12" t="inlineStr">
        <is>
          <t>BW-0974 Gearbox - Hat</t>
        </is>
      </c>
    </row>
    <row r="10">
      <c r="A10" s="13" t="inlineStr">
        <is>
          <t>12498897081</t>
        </is>
      </c>
      <c r="B10" s="11" t="inlineStr">
        <is>
          <t>Suisse</t>
        </is>
      </c>
      <c r="C10" s="13" t="inlineStr">
        <is>
          <t>BW-0136 BAR2 double portion control</t>
        </is>
      </c>
      <c r="D10" s="13" t="inlineStr">
        <is>
          <t>2026-07-10</t>
        </is>
      </c>
      <c r="E10" s="13" t="inlineStr">
        <is>
          <t>New (to repair)</t>
        </is>
      </c>
      <c r="F10" s="12" t="inlineStr">
        <is>
          <t>Bar2 upper right button used as spear part</t>
        </is>
      </c>
      <c r="G10" s="12" t="inlineStr">
        <is>
          <t>Subject</t>
        </is>
      </c>
      <c r="H10" s="11" t="inlineStr">
        <is>
          <t>Pièce déduite</t>
        </is>
      </c>
      <c r="I10" s="12" t="inlineStr">
        <is>
          <t>Bouton BAR2 — à préciser</t>
        </is>
      </c>
    </row>
    <row r="11">
      <c r="A11" s="13" t="inlineStr">
        <is>
          <t>12217762646</t>
        </is>
      </c>
      <c r="B11" s="11" t="inlineStr">
        <is>
          <t>Suisse</t>
        </is>
      </c>
      <c r="C11" s="13" t="inlineStr">
        <is>
          <t>BW-0271 PRO2 White</t>
        </is>
      </c>
      <c r="D11" s="13" t="inlineStr">
        <is>
          <t>2026-06-08</t>
        </is>
      </c>
      <c r="E11" s="13" t="inlineStr">
        <is>
          <t>New (to repair)</t>
        </is>
      </c>
      <c r="F11" s="12" t="inlineStr">
        <is>
          <t>Pro 2</t>
        </is>
      </c>
      <c r="G11" s="12" t="inlineStr">
        <is>
          <t>Box qui fait un goûte à goûte sans arrêt il faut sûrement changer l’électrovanne</t>
        </is>
      </c>
      <c r="H11" s="11" t="inlineStr">
        <is>
          <t>Pièce déduite</t>
        </is>
      </c>
      <c r="I11" s="12" t="inlineStr">
        <is>
          <t>BW-0179 PRO2 Solenoids</t>
        </is>
      </c>
    </row>
    <row r="12">
      <c r="A12" s="13" t="inlineStr">
        <is>
          <t>12891544139</t>
        </is>
      </c>
      <c r="B12" s="11" t="inlineStr">
        <is>
          <t>Suisse</t>
        </is>
      </c>
      <c r="C12" s="13" t="inlineStr">
        <is>
          <t>BW-0596 BOX 20 Home</t>
        </is>
      </c>
      <c r="D12" s="13" t="inlineStr">
        <is>
          <t>—</t>
        </is>
      </c>
      <c r="E12" s="13" t="inlineStr">
        <is>
          <t>➡️ In progress (repair in progress)</t>
        </is>
      </c>
      <c r="F12" s="12" t="inlineStr">
        <is>
          <t>Carroserie HS</t>
        </is>
      </c>
      <c r="G12" s="12" t="inlineStr">
        <is>
          <t>Carrosserie HS</t>
        </is>
      </c>
      <c r="H12" s="11" t="inlineStr">
        <is>
          <t>Pièce déduite</t>
        </is>
      </c>
      <c r="I12" s="12" t="inlineStr">
        <is>
          <t>BW-0994 Outer casing BOX 20</t>
        </is>
      </c>
    </row>
    <row r="13">
      <c r="A13" s="13" t="inlineStr">
        <is>
          <t>12891695968</t>
        </is>
      </c>
      <c r="B13" s="11" t="inlineStr">
        <is>
          <t>Suisse</t>
        </is>
      </c>
      <c r="C13" s="13" t="inlineStr">
        <is>
          <t>BW-0596 BOX 20 Home</t>
        </is>
      </c>
      <c r="D13" s="13" t="inlineStr">
        <is>
          <t>2025-08-14</t>
        </is>
      </c>
      <c r="E13" s="13" t="inlineStr">
        <is>
          <t>➡️ In progress (repair in progress)</t>
        </is>
      </c>
      <c r="F13" s="12" t="inlineStr">
        <is>
          <t>Fuite CO2</t>
        </is>
      </c>
      <c r="G13" s="12" t="inlineStr">
        <is>
          <t>Fuite long terme au niveau du CO2</t>
        </is>
      </c>
      <c r="H13" s="11" t="inlineStr">
        <is>
          <t>Pièce déduite</t>
        </is>
      </c>
      <c r="I13" s="12" t="inlineStr">
        <is>
          <t>Fuite CO2 — à diagnostiquer</t>
        </is>
      </c>
    </row>
    <row r="14">
      <c r="A14" s="13" t="inlineStr">
        <is>
          <t>12232314055</t>
        </is>
      </c>
      <c r="B14" s="11" t="inlineStr">
        <is>
          <t>UK</t>
        </is>
      </c>
      <c r="C14" s="13" t="inlineStr">
        <is>
          <t>BW-0136 BAR2 double portion control</t>
        </is>
      </c>
      <c r="D14" s="13" t="inlineStr">
        <is>
          <t>2026-06-09</t>
        </is>
      </c>
      <c r="E14" s="13" t="inlineStr">
        <is>
          <t>New (to repair)</t>
        </is>
      </c>
      <c r="F14" s="12" t="inlineStr">
        <is>
          <t>Damaged Drip Tray</t>
        </is>
      </c>
      <c r="G14" s="12" t="inlineStr">
        <is>
          <t>Drip tray on BAR2 double portion control cracked and leaking</t>
        </is>
      </c>
      <c r="H14" s="11" t="inlineStr">
        <is>
          <t>Pièce déduite</t>
        </is>
      </c>
      <c r="I14" s="12" t="inlineStr">
        <is>
          <t>BW-0295 BAR2 Drip tray</t>
        </is>
      </c>
    </row>
    <row r="15">
      <c r="A15" s="13" t="inlineStr">
        <is>
          <t>18083626539</t>
        </is>
      </c>
      <c r="B15" s="11" t="inlineStr">
        <is>
          <t>Émirats</t>
        </is>
      </c>
      <c r="C15" s="13" t="inlineStr">
        <is>
          <t>BW-0074 BOX 30</t>
        </is>
      </c>
      <c r="D15" s="13" t="inlineStr">
        <is>
          <t>2025-10-01</t>
        </is>
      </c>
      <c r="E15" s="13" t="inlineStr">
        <is>
          <t>New (to repair)</t>
        </is>
      </c>
      <c r="F15" s="12" t="inlineStr">
        <is>
          <t>release pressure valve</t>
        </is>
      </c>
      <c r="G15" s="12" t="inlineStr">
        <is>
          <t>new spare part needed</t>
        </is>
      </c>
      <c r="H15" s="11" t="inlineStr">
        <is>
          <t>Pièce déduite</t>
        </is>
      </c>
      <c r="I15" s="12" t="inlineStr">
        <is>
          <t>BW-0172 8mm PRV</t>
        </is>
      </c>
    </row>
    <row r="16">
      <c r="A16" s="13" t="inlineStr">
        <is>
          <t>10943979984</t>
        </is>
      </c>
      <c r="B16" s="11" t="inlineStr">
        <is>
          <t>Émirats</t>
        </is>
      </c>
      <c r="C16" s="13" t="inlineStr">
        <is>
          <t>Tower</t>
        </is>
      </c>
      <c r="D16" s="13" t="inlineStr">
        <is>
          <t>2026-01-08</t>
        </is>
      </c>
      <c r="E16" s="13" t="inlineStr">
        <is>
          <t>New (to repair)</t>
        </is>
      </c>
      <c r="F16" s="12" t="inlineStr">
        <is>
          <t>Besoin spare parts manual capper- mail vivek 08.01</t>
        </is>
      </c>
      <c r="G16" s="12" t="inlineStr">
        <is>
          <t>Besoin spare parts manual capper- mail vivek 08.01</t>
        </is>
      </c>
      <c r="H16" s="11" t="inlineStr">
        <is>
          <t>Pièce déduite</t>
        </is>
      </c>
      <c r="I16" s="12" t="inlineStr">
        <is>
          <t>Capper Tower — SKU à créer</t>
        </is>
      </c>
    </row>
    <row r="17">
      <c r="A17" s="13" t="inlineStr">
        <is>
          <t>12734652195</t>
        </is>
      </c>
      <c r="B17" s="11" t="inlineStr">
        <is>
          <t>France</t>
        </is>
      </c>
      <c r="C17" s="13" t="inlineStr">
        <is>
          <t>BW-0001 BOX 80</t>
        </is>
      </c>
      <c r="D17" s="13" t="inlineStr">
        <is>
          <t>2026-08-06</t>
        </is>
      </c>
      <c r="E17" s="13" t="inlineStr">
        <is>
          <t>New (to repair)</t>
        </is>
      </c>
      <c r="F17" s="12" t="inlineStr">
        <is>
          <t>No sparkling water And the thermometer is busted no cold wat</t>
        </is>
      </c>
      <c r="G17" s="12" t="inlineStr">
        <is>
          <t>The motor that fills the CO₂ tank with water is burnt out, and the whole refrigeration unit won’t start because the thermometer no longer works.</t>
        </is>
      </c>
      <c r="H17" s="11" t="inlineStr">
        <is>
          <t>Couvert par la commande</t>
        </is>
      </c>
      <c r="I17" s="12" t="inlineStr">
        <is>
          <t>Moteur pompe CO2 + thermostat</t>
        </is>
      </c>
    </row>
    <row r="18">
      <c r="A18" s="13" t="inlineStr">
        <is>
          <t>12759584213</t>
        </is>
      </c>
      <c r="B18" s="11" t="inlineStr">
        <is>
          <t>France</t>
        </is>
      </c>
      <c r="C18" s="13" t="inlineStr">
        <is>
          <t>BW-0001 BOX 80</t>
        </is>
      </c>
      <c r="D18" s="13" t="inlineStr">
        <is>
          <t>2026-08-10</t>
        </is>
      </c>
      <c r="E18" s="13" t="inlineStr">
        <is>
          <t>At supplier</t>
        </is>
      </c>
      <c r="F18" s="12" t="inlineStr">
        <is>
          <t>NO REFRIGIRATION AND VETILATOR IS BROKE</t>
        </is>
      </c>
      <c r="G18" s="12" t="inlineStr">
        <is>
          <t>The refrigeration unit no longer starts. After inspection, the fan is also out of order (HS).</t>
        </is>
      </c>
      <c r="H18" s="11" t="inlineStr">
        <is>
          <t>Couvert par la commande</t>
        </is>
      </c>
      <c r="I18" s="12" t="inlineStr">
        <is>
          <t>Ventilateur + froid</t>
        </is>
      </c>
    </row>
    <row r="19">
      <c r="A19" s="13" t="inlineStr">
        <is>
          <t>12759667201</t>
        </is>
      </c>
      <c r="B19" s="11" t="inlineStr">
        <is>
          <t>France</t>
        </is>
      </c>
      <c r="C19" s="13" t="inlineStr">
        <is>
          <t>BW-0001 BOX 80</t>
        </is>
      </c>
      <c r="D19" s="13" t="inlineStr">
        <is>
          <t>2026-08-10</t>
        </is>
      </c>
      <c r="E19" s="13" t="inlineStr">
        <is>
          <t>New (to repair)</t>
        </is>
      </c>
      <c r="F19" s="12" t="inlineStr">
        <is>
          <t>The motor that supplies the CO₂ tank with water is burnt out</t>
        </is>
      </c>
      <c r="G19" s="12" t="inlineStr">
        <is>
          <t>The motor that supplies the CO₂ tank with water is burnt out.</t>
        </is>
      </c>
      <c r="H19" s="11" t="inlineStr">
        <is>
          <t>Couvert par la commande</t>
        </is>
      </c>
      <c r="I19" s="12" t="inlineStr">
        <is>
          <t>Moteur pompe CO2</t>
        </is>
      </c>
    </row>
    <row r="20">
      <c r="A20" s="13" t="inlineStr">
        <is>
          <t>12759598322</t>
        </is>
      </c>
      <c r="B20" s="11" t="inlineStr">
        <is>
          <t>France</t>
        </is>
      </c>
      <c r="C20" s="13" t="inlineStr">
        <is>
          <t>BW-0001 BOX 80</t>
        </is>
      </c>
      <c r="D20" s="13" t="inlineStr">
        <is>
          <t>2026-08-10</t>
        </is>
      </c>
      <c r="E20" s="13" t="inlineStr">
        <is>
          <t>New (to repair)</t>
        </is>
      </c>
      <c r="F20" s="12" t="inlineStr">
        <is>
          <t>NO REFRIGIRATION</t>
        </is>
      </c>
      <c r="G20" s="12" t="inlineStr">
        <is>
          <t>The refrigeration unit no longer starts. After inspection, the fan is also out of order (HS).</t>
        </is>
      </c>
      <c r="H20" s="11" t="inlineStr">
        <is>
          <t>Couvert par la commande</t>
        </is>
      </c>
      <c r="I20" s="12" t="inlineStr">
        <is>
          <t>Ventilateur + froid</t>
        </is>
      </c>
    </row>
    <row r="21">
      <c r="A21" s="13" t="inlineStr">
        <is>
          <t>12759621953</t>
        </is>
      </c>
      <c r="B21" s="11" t="inlineStr">
        <is>
          <t>France</t>
        </is>
      </c>
      <c r="C21" s="13" t="inlineStr">
        <is>
          <t>BW-0001 BOX 80</t>
        </is>
      </c>
      <c r="D21" s="13" t="inlineStr">
        <is>
          <t>2026-08-10</t>
        </is>
      </c>
      <c r="E21" s="13" t="inlineStr">
        <is>
          <t>New (to repair)</t>
        </is>
      </c>
      <c r="F21" s="12" t="inlineStr">
        <is>
          <t>NO VETILATION AND NO SPARKLING WATER</t>
        </is>
      </c>
      <c r="G21" s="12" t="inlineStr">
        <is>
          <t>The motor that supplies the CO₂ tank with water is completely blocked. We are unable to make it turn again, and the fan is out of order.</t>
        </is>
      </c>
      <c r="H21" s="11" t="inlineStr">
        <is>
          <t>Couvert par la commande</t>
        </is>
      </c>
      <c r="I21" s="12" t="inlineStr">
        <is>
          <t>Moteur pompe CO2 + ventilateur</t>
        </is>
      </c>
    </row>
    <row r="22">
      <c r="A22" s="13" t="inlineStr">
        <is>
          <t>12759641294</t>
        </is>
      </c>
      <c r="B22" s="11" t="inlineStr">
        <is>
          <t>France</t>
        </is>
      </c>
      <c r="C22" s="13" t="inlineStr">
        <is>
          <t>BW-0001 BOX 80</t>
        </is>
      </c>
      <c r="D22" s="13" t="inlineStr">
        <is>
          <t>2026-08-10</t>
        </is>
      </c>
      <c r="E22" s="13" t="inlineStr">
        <is>
          <t>New (to repair)</t>
        </is>
      </c>
      <c r="F22" s="12" t="inlineStr">
        <is>
          <t>NO VENTILATION NO COLD</t>
        </is>
      </c>
      <c r="G22" s="12" t="inlineStr">
        <is>
          <t>VENTILATION OUT OF ORDER AND THE THERMOMETER IS OUT OF ORDER</t>
        </is>
      </c>
      <c r="H22" s="11" t="inlineStr">
        <is>
          <t>Couvert par la commande</t>
        </is>
      </c>
      <c r="I22" s="12" t="inlineStr">
        <is>
          <t>Ventilateur + thermostat</t>
        </is>
      </c>
    </row>
    <row r="23">
      <c r="A23" s="13" t="inlineStr">
        <is>
          <t>12759687821</t>
        </is>
      </c>
      <c r="B23" s="11" t="inlineStr">
        <is>
          <t>France</t>
        </is>
      </c>
      <c r="C23" s="13" t="inlineStr">
        <is>
          <t>BW-0001 BOX 80</t>
        </is>
      </c>
      <c r="D23" s="13" t="inlineStr">
        <is>
          <t>2026-08-10</t>
        </is>
      </c>
      <c r="E23" s="13" t="inlineStr">
        <is>
          <t>New (to repair)</t>
        </is>
      </c>
      <c r="F23" s="12" t="inlineStr">
        <is>
          <t>THERMOMETER IS OUT OF ORDER</t>
        </is>
      </c>
      <c r="G23" s="12" t="inlineStr">
        <is>
          <t>THERMOMETER IS OUT OF ORDER</t>
        </is>
      </c>
      <c r="H23" s="11" t="inlineStr">
        <is>
          <t>Couvert par la commande</t>
        </is>
      </c>
      <c r="I23" s="12" t="inlineStr">
        <is>
          <t>Thermostat</t>
        </is>
      </c>
    </row>
    <row r="24">
      <c r="A24" s="13" t="inlineStr">
        <is>
          <t>12189511251</t>
        </is>
      </c>
      <c r="B24" s="11" t="inlineStr">
        <is>
          <t>Suisse</t>
        </is>
      </c>
      <c r="C24" s="13" t="inlineStr">
        <is>
          <t>BW-0596 BOX 20 Home</t>
        </is>
      </c>
      <c r="D24" s="13" t="inlineStr">
        <is>
          <t>2026-06-03</t>
        </is>
      </c>
      <c r="E24" s="13" t="inlineStr">
        <is>
          <t>New (to repair)</t>
        </is>
      </c>
      <c r="F24" s="12" t="inlineStr">
        <is>
          <t>Ne refroidit pas</t>
        </is>
      </c>
      <c r="G24" s="12" t="inlineStr">
        <is>
          <t>La box ne refroidit pas assez , vérifier le ventilation svp merci</t>
        </is>
      </c>
      <c r="H24" s="11" t="inlineStr">
        <is>
          <t>Couvert par la commande</t>
        </is>
      </c>
      <c r="I24" s="12" t="inlineStr">
        <is>
          <t>Ventilateur BW-0191 (30 pcs)</t>
        </is>
      </c>
    </row>
    <row r="25">
      <c r="A25" s="13" t="inlineStr">
        <is>
          <t>12890647974</t>
        </is>
      </c>
      <c r="B25" s="11" t="inlineStr">
        <is>
          <t>Suisse</t>
        </is>
      </c>
      <c r="C25" s="13" t="inlineStr">
        <is>
          <t>BW-0596 BOX 20 Home</t>
        </is>
      </c>
      <c r="D25" s="13" t="inlineStr">
        <is>
          <t>2026-08-25</t>
        </is>
      </c>
      <c r="E25" s="13" t="inlineStr">
        <is>
          <t>At supplier</t>
        </is>
      </c>
      <c r="F25" s="12" t="inlineStr">
        <is>
          <t>Ventilateur HS</t>
        </is>
      </c>
      <c r="G25" s="12" t="inlineStr">
        <is>
          <t>La box est chaud et l’eau ne refroidit pas  | Fortement possible ventilateur HS</t>
        </is>
      </c>
      <c r="H25" s="11" t="inlineStr">
        <is>
          <t>Couvert par la commande</t>
        </is>
      </c>
      <c r="I25" s="12" t="inlineStr">
        <is>
          <t>Ventilateur BW-0191 (30 pcs)</t>
        </is>
      </c>
    </row>
    <row r="26">
      <c r="A26" s="13" t="inlineStr">
        <is>
          <t>12891290504</t>
        </is>
      </c>
      <c r="B26" s="11" t="inlineStr">
        <is>
          <t>Suisse</t>
        </is>
      </c>
      <c r="C26" s="13" t="inlineStr">
        <is>
          <t>BW-0271 PRO2 White</t>
        </is>
      </c>
      <c r="D26" s="13" t="inlineStr">
        <is>
          <t>2026-08-25</t>
        </is>
      </c>
      <c r="E26" s="13" t="inlineStr">
        <is>
          <t>New (to repair)</t>
        </is>
      </c>
      <c r="F26" s="12" t="inlineStr">
        <is>
          <t>Bouton tactile HS</t>
        </is>
      </c>
      <c r="G26" s="12" t="inlineStr">
        <is>
          <t>Bouton tactile hs</t>
        </is>
      </c>
      <c r="H26" s="11" t="inlineStr">
        <is>
          <t>Exclu sur décision</t>
        </is>
      </c>
      <c r="I26" s="12" t="inlineStr">
        <is>
          <t>Panneau tactile PRO2</t>
        </is>
      </c>
    </row>
    <row r="27">
      <c r="A27" s="13" t="inlineStr">
        <is>
          <t>12488288189</t>
        </is>
      </c>
      <c r="B27" s="11" t="inlineStr">
        <is>
          <t>Suisse</t>
        </is>
      </c>
      <c r="C27" s="13" t="inlineStr">
        <is>
          <t>BW-0272.01 PRO2 Black</t>
        </is>
      </c>
      <c r="D27" s="13" t="inlineStr">
        <is>
          <t>2026-07-09</t>
        </is>
      </c>
      <c r="E27" s="13" t="inlineStr">
        <is>
          <t>New (to repair)</t>
        </is>
      </c>
      <c r="F27" s="12" t="inlineStr">
        <is>
          <t>Panel defekt</t>
        </is>
      </c>
      <c r="G27" s="12" t="inlineStr">
        <is>
          <t>The panel is defective; it was used for a repair.</t>
        </is>
      </c>
      <c r="H27" s="11" t="inlineStr">
        <is>
          <t>Exclu sur décision</t>
        </is>
      </c>
      <c r="I27" s="12" t="inlineStr">
        <is>
          <t>Panneau tactile PRO2</t>
        </is>
      </c>
    </row>
    <row r="28">
      <c r="A28" s="13" t="inlineStr">
        <is>
          <t>9340197921</t>
        </is>
      </c>
      <c r="B28" s="11" t="inlineStr">
        <is>
          <t>Canada</t>
        </is>
      </c>
      <c r="C28" s="13" t="inlineStr">
        <is>
          <t>BW-0001 BOX 80</t>
        </is>
      </c>
      <c r="D28" s="13" t="inlineStr">
        <is>
          <t>2025-06-10</t>
        </is>
      </c>
      <c r="E28" s="13" t="inlineStr">
        <is>
          <t>Stucked</t>
        </is>
      </c>
      <c r="F28" s="12" t="inlineStr">
        <is>
          <t>BOX no cooling Canada</t>
        </is>
      </c>
      <c r="G28" s="12" t="inlineStr">
        <is>
          <t>BOX no cooling Canada | En attente d'un frigoriste local</t>
        </is>
      </c>
      <c r="H28" s="11" t="inlineStr">
        <is>
          <t>Sans pièce</t>
        </is>
      </c>
      <c r="I28" s="12" t="inlineStr">
        <is>
          <t>Attente frigoriste local</t>
        </is>
      </c>
    </row>
    <row r="29">
      <c r="A29" s="13" t="inlineStr">
        <is>
          <t>12890697274</t>
        </is>
      </c>
      <c r="B29" s="11" t="inlineStr">
        <is>
          <t>Espagne</t>
        </is>
      </c>
      <c r="C29" s="13" t="inlineStr">
        <is>
          <t>—</t>
        </is>
      </c>
      <c r="D29" s="13" t="inlineStr">
        <is>
          <t>—</t>
        </is>
      </c>
      <c r="E29" s="13" t="inlineStr">
        <is>
          <t>New (to repair)</t>
        </is>
      </c>
      <c r="F29" s="12" t="inlineStr">
        <is>
          <t>Ajouter subject</t>
        </is>
      </c>
      <c r="G29" s="12" t="inlineStr"/>
      <c r="H29" s="11" t="inlineStr">
        <is>
          <t>Sans pièce</t>
        </is>
      </c>
      <c r="I29" s="12" t="inlineStr">
        <is>
          <t>Claim vide</t>
        </is>
      </c>
    </row>
    <row r="30">
      <c r="A30" s="13" t="inlineStr">
        <is>
          <t>12488429466</t>
        </is>
      </c>
      <c r="B30" s="11" t="inlineStr">
        <is>
          <t>Suisse</t>
        </is>
      </c>
      <c r="C30" s="13" t="inlineStr">
        <is>
          <t>BW-0596 BOX 20 Home</t>
        </is>
      </c>
      <c r="D30" s="13" t="inlineStr">
        <is>
          <t>2026-03-25</t>
        </is>
      </c>
      <c r="E30" s="13" t="inlineStr">
        <is>
          <t>New (to repair)</t>
        </is>
      </c>
      <c r="F30" s="12" t="inlineStr">
        <is>
          <t>Overheated</t>
        </is>
      </c>
      <c r="G30" s="12" t="inlineStr">
        <is>
          <t>The box is the old model and overheated so i change with the new model</t>
        </is>
      </c>
      <c r="H30" s="11" t="inlineStr">
        <is>
          <t>Sans pièce</t>
        </is>
      </c>
      <c r="I30" s="12" t="inlineStr">
        <is>
          <t>Machine échangée</t>
        </is>
      </c>
    </row>
    <row r="31">
      <c r="A31" s="13" t="inlineStr">
        <is>
          <t>12260324751</t>
        </is>
      </c>
      <c r="B31" s="11" t="inlineStr">
        <is>
          <t>Suisse</t>
        </is>
      </c>
      <c r="C31" s="13" t="inlineStr">
        <is>
          <t>BW-0001 BOX 80</t>
        </is>
      </c>
      <c r="D31" s="13" t="inlineStr">
        <is>
          <t>2026-06-11</t>
        </is>
      </c>
      <c r="E31" s="13" t="inlineStr">
        <is>
          <t>New (to repair)</t>
        </is>
      </c>
      <c r="F31" s="12" t="inlineStr">
        <is>
          <t>Box Hs</t>
        </is>
      </c>
      <c r="G31" s="12" t="inlineStr">
        <is>
          <t>La pompe tourne sans arrêt jusqu’à se mettre en sécurité et ne plus tourner, je pense que c’est une sonde qui deconne ( c’est récurent sur les ancienn</t>
        </is>
      </c>
      <c r="H31" s="22" t="inlineStr">
        <is>
          <t>Diagnostic à faire</t>
        </is>
      </c>
      <c r="I31" s="12" t="inlineStr">
        <is>
          <t>—</t>
        </is>
      </c>
    </row>
    <row r="32">
      <c r="A32" s="13" t="inlineStr">
        <is>
          <t>12345571966</t>
        </is>
      </c>
      <c r="B32" s="11" t="inlineStr">
        <is>
          <t>Suisse</t>
        </is>
      </c>
      <c r="C32" s="13" t="inlineStr">
        <is>
          <t>BW-0001 BOX 80</t>
        </is>
      </c>
      <c r="D32" s="13" t="inlineStr">
        <is>
          <t>2026-06-23</t>
        </is>
      </c>
      <c r="E32" s="13" t="inlineStr">
        <is>
          <t>New (to repair)</t>
        </is>
      </c>
      <c r="F32" s="12" t="inlineStr">
        <is>
          <t>Fuite</t>
        </is>
      </c>
      <c r="G32" s="12" t="inlineStr">
        <is>
          <t>Fuite à l’intérieur de la box, lorsque la pompe se met en route la box fuite à l’intérieur visible directement en ouvrant le dessus de la box. | (La m</t>
        </is>
      </c>
      <c r="H32" s="22" t="inlineStr">
        <is>
          <t>Diagnostic à faire</t>
        </is>
      </c>
      <c r="I32" s="12" t="inlineStr">
        <is>
          <t>—</t>
        </is>
      </c>
    </row>
    <row r="33">
      <c r="A33" s="13" t="inlineStr">
        <is>
          <t>12488375225</t>
        </is>
      </c>
      <c r="B33" s="11" t="inlineStr">
        <is>
          <t>Suisse</t>
        </is>
      </c>
      <c r="C33" s="13" t="inlineStr">
        <is>
          <t>BW-0001 BOX 80</t>
        </is>
      </c>
      <c r="D33" s="13" t="inlineStr">
        <is>
          <t>2026-03-20</t>
        </is>
      </c>
      <c r="E33" s="13" t="inlineStr">
        <is>
          <t>New (to repair)</t>
        </is>
      </c>
      <c r="F33" s="12" t="inlineStr">
        <is>
          <t>Water quality</t>
        </is>
      </c>
      <c r="G33" s="12" t="inlineStr">
        <is>
          <t>The water tastes like plastic; sparkling water isn't any better either.￼</t>
        </is>
      </c>
      <c r="H33" s="22" t="inlineStr">
        <is>
          <t>Diagnostic à faire</t>
        </is>
      </c>
      <c r="I33" s="12" t="inlineStr">
        <is>
          <t>—</t>
        </is>
      </c>
    </row>
    <row r="34">
      <c r="A34" s="13" t="inlineStr">
        <is>
          <t>12498834734</t>
        </is>
      </c>
      <c r="B34" s="11" t="inlineStr">
        <is>
          <t>Suisse</t>
        </is>
      </c>
      <c r="C34" s="13" t="inlineStr">
        <is>
          <t>BW-0001 BOX 80</t>
        </is>
      </c>
      <c r="D34" s="13" t="inlineStr">
        <is>
          <t>2026-07-10</t>
        </is>
      </c>
      <c r="E34" s="13" t="inlineStr">
        <is>
          <t>New (to repair)</t>
        </is>
      </c>
      <c r="F34" s="12" t="inlineStr">
        <is>
          <t>Box not working correctly</t>
        </is>
      </c>
      <c r="G34" s="12" t="inlineStr">
        <is>
          <t>Box not working correctly</t>
        </is>
      </c>
      <c r="H34" s="22" t="inlineStr">
        <is>
          <t>Diagnostic à faire</t>
        </is>
      </c>
      <c r="I34" s="12" t="inlineStr">
        <is>
          <t>—</t>
        </is>
      </c>
    </row>
    <row r="35">
      <c r="A35" s="13" t="inlineStr">
        <is>
          <t>12498924040</t>
        </is>
      </c>
      <c r="B35" s="11" t="inlineStr">
        <is>
          <t>Suisse</t>
        </is>
      </c>
      <c r="C35" s="13" t="inlineStr">
        <is>
          <t>BW-0001 BOX 80</t>
        </is>
      </c>
      <c r="D35" s="13" t="inlineStr">
        <is>
          <t>2026-07-10</t>
        </is>
      </c>
      <c r="E35" s="13" t="inlineStr">
        <is>
          <t>New (to repair)</t>
        </is>
      </c>
      <c r="F35" s="12" t="inlineStr">
        <is>
          <t>Box shuts down</t>
        </is>
      </c>
      <c r="G35" s="12" t="inlineStr">
        <is>
          <t>Subject</t>
        </is>
      </c>
      <c r="H35" s="22" t="inlineStr">
        <is>
          <t>Diagnostic à faire</t>
        </is>
      </c>
      <c r="I35" s="12" t="inlineStr">
        <is>
          <t>—</t>
        </is>
      </c>
    </row>
    <row r="36">
      <c r="A36" s="13" t="inlineStr">
        <is>
          <t>12498929411</t>
        </is>
      </c>
      <c r="B36" s="11" t="inlineStr">
        <is>
          <t>Suisse</t>
        </is>
      </c>
      <c r="C36" s="13" t="inlineStr">
        <is>
          <t>BW-0001 BOX 80</t>
        </is>
      </c>
      <c r="D36" s="13" t="inlineStr">
        <is>
          <t>2026-07-10</t>
        </is>
      </c>
      <c r="E36" s="13" t="inlineStr">
        <is>
          <t>New (to repair)</t>
        </is>
      </c>
      <c r="F36" s="12" t="inlineStr">
        <is>
          <t>Not working after useing</t>
        </is>
      </c>
      <c r="G36" s="12" t="inlineStr">
        <is>
          <t>Subject</t>
        </is>
      </c>
      <c r="H36" s="22" t="inlineStr">
        <is>
          <t>Diagnostic à faire</t>
        </is>
      </c>
      <c r="I36" s="12" t="inlineStr">
        <is>
          <t>—</t>
        </is>
      </c>
    </row>
    <row r="37">
      <c r="A37" s="13" t="inlineStr">
        <is>
          <t>12498923975</t>
        </is>
      </c>
      <c r="B37" s="11" t="inlineStr">
        <is>
          <t>Suisse</t>
        </is>
      </c>
      <c r="C37" s="13" t="inlineStr">
        <is>
          <t>BW-0001 BOX 80</t>
        </is>
      </c>
      <c r="D37" s="13" t="inlineStr">
        <is>
          <t>2026-07-10</t>
        </is>
      </c>
      <c r="E37" s="13" t="inlineStr">
        <is>
          <t>New (to repair)</t>
        </is>
      </c>
      <c r="F37" s="12" t="inlineStr">
        <is>
          <t>Pumps too little water</t>
        </is>
      </c>
      <c r="G37" s="12" t="inlineStr">
        <is>
          <t>Subject</t>
        </is>
      </c>
      <c r="H37" s="22" t="inlineStr">
        <is>
          <t>Diagnostic à faire</t>
        </is>
      </c>
      <c r="I37" s="12" t="inlineStr">
        <is>
          <t>—</t>
        </is>
      </c>
    </row>
    <row r="38">
      <c r="A38" s="13" t="inlineStr">
        <is>
          <t>12516927493</t>
        </is>
      </c>
      <c r="B38" s="11" t="inlineStr">
        <is>
          <t>Suisse</t>
        </is>
      </c>
      <c r="C38" s="13" t="inlineStr">
        <is>
          <t>BW-0045 AQTiV COMBI H</t>
        </is>
      </c>
      <c r="D38" s="13" t="inlineStr">
        <is>
          <t>2026-07-13</t>
        </is>
      </c>
      <c r="E38" s="13" t="inlineStr">
        <is>
          <t>New (to repair)</t>
        </is>
      </c>
      <c r="F38" s="12" t="inlineStr">
        <is>
          <t>Débit eau chaude eau froide réduit</t>
        </is>
      </c>
      <c r="G38" s="12" t="inlineStr">
        <is>
          <t>Débit eau chaude eau froide réduit</t>
        </is>
      </c>
      <c r="H38" s="22" t="inlineStr">
        <is>
          <t>Diagnostic à faire</t>
        </is>
      </c>
      <c r="I38" s="12" t="inlineStr">
        <is>
          <t>—</t>
        </is>
      </c>
    </row>
    <row r="39">
      <c r="A39" s="13" t="inlineStr">
        <is>
          <t>12488224463</t>
        </is>
      </c>
      <c r="B39" s="11" t="inlineStr">
        <is>
          <t>Suisse</t>
        </is>
      </c>
      <c r="C39" s="13" t="inlineStr">
        <is>
          <t>BW-0067 BOX30 B</t>
        </is>
      </c>
      <c r="D39" s="13" t="inlineStr">
        <is>
          <t>2026-06-04</t>
        </is>
      </c>
      <c r="E39" s="13" t="inlineStr">
        <is>
          <t>New (to repair)</t>
        </is>
      </c>
      <c r="F39" s="12" t="inlineStr">
        <is>
          <t>Pump</t>
        </is>
      </c>
      <c r="G39" s="12" t="inlineStr">
        <is>
          <t>The system often doesn’t pump, so the sparkling water doesn’t come out</t>
        </is>
      </c>
      <c r="H39" s="22" t="inlineStr">
        <is>
          <t>Diagnostic à faire</t>
        </is>
      </c>
      <c r="I39" s="12" t="inlineStr">
        <is>
          <t>—</t>
        </is>
      </c>
    </row>
    <row r="40">
      <c r="A40" s="13" t="inlineStr">
        <is>
          <t>12782952977</t>
        </is>
      </c>
      <c r="B40" s="11" t="inlineStr">
        <is>
          <t>Suisse</t>
        </is>
      </c>
      <c r="C40" s="13" t="inlineStr">
        <is>
          <t>BW-0067 BOX30 B</t>
        </is>
      </c>
      <c r="D40" s="13" t="inlineStr">
        <is>
          <t>2026-08-12</t>
        </is>
      </c>
      <c r="E40" s="13" t="inlineStr">
        <is>
          <t>New (to repair)</t>
        </is>
      </c>
      <c r="F40" s="12" t="inlineStr">
        <is>
          <t>Box gèle</t>
        </is>
      </c>
      <c r="G40" s="12" t="inlineStr">
        <is>
          <t>Box gèle</t>
        </is>
      </c>
      <c r="H40" s="22" t="inlineStr">
        <is>
          <t>Diagnostic à faire</t>
        </is>
      </c>
      <c r="I40" s="12" t="inlineStr">
        <is>
          <t>—</t>
        </is>
      </c>
    </row>
    <row r="41">
      <c r="A41" s="13" t="inlineStr">
        <is>
          <t>12201056464</t>
        </is>
      </c>
      <c r="B41" s="11" t="inlineStr">
        <is>
          <t>Suisse</t>
        </is>
      </c>
      <c r="C41" s="13" t="inlineStr">
        <is>
          <t>BW-0074 BOX 30</t>
        </is>
      </c>
      <c r="D41" s="13" t="inlineStr">
        <is>
          <t>2026-06-04</t>
        </is>
      </c>
      <c r="E41" s="13" t="inlineStr">
        <is>
          <t>New (to repair)</t>
        </is>
      </c>
      <c r="F41" s="12" t="inlineStr">
        <is>
          <t>Box HS</t>
        </is>
      </c>
      <c r="G41" s="12" t="inlineStr">
        <is>
          <t>La box sonne sans arrêt, j’ai fait un reset mais rien toujours le même soucis et j’ai aussi agrandi le troue de ventilation sur le meuble au maximum m</t>
        </is>
      </c>
      <c r="H41" s="22" t="inlineStr">
        <is>
          <t>Diagnostic à faire</t>
        </is>
      </c>
      <c r="I41" s="12" t="inlineStr">
        <is>
          <t>—</t>
        </is>
      </c>
    </row>
    <row r="42">
      <c r="A42" s="13" t="inlineStr">
        <is>
          <t>12217669041</t>
        </is>
      </c>
      <c r="B42" s="11" t="inlineStr">
        <is>
          <t>Suisse</t>
        </is>
      </c>
      <c r="C42" s="13" t="inlineStr">
        <is>
          <t>BW-0074 BOX 30</t>
        </is>
      </c>
      <c r="D42" s="13" t="inlineStr">
        <is>
          <t>2026-06-03</t>
        </is>
      </c>
      <c r="E42" s="13" t="inlineStr">
        <is>
          <t>New (to repair)</t>
        </is>
      </c>
      <c r="F42" s="12" t="inlineStr">
        <is>
          <t>Défaut Box 30</t>
        </is>
      </c>
      <c r="G42" s="12" t="inlineStr">
        <is>
          <t>Box qui sonne et s’arrête sans arrêt</t>
        </is>
      </c>
      <c r="H42" s="22" t="inlineStr">
        <is>
          <t>Diagnostic à faire</t>
        </is>
      </c>
      <c r="I42" s="12" t="inlineStr">
        <is>
          <t>—</t>
        </is>
      </c>
    </row>
    <row r="43">
      <c r="A43" s="13" t="inlineStr">
        <is>
          <t>12487002527</t>
        </is>
      </c>
      <c r="B43" s="11" t="inlineStr">
        <is>
          <t>Suisse</t>
        </is>
      </c>
      <c r="C43" s="13" t="inlineStr">
        <is>
          <t>BW-0074 BOX 30</t>
        </is>
      </c>
      <c r="D43" s="13" t="inlineStr">
        <is>
          <t>2026-07-08</t>
        </is>
      </c>
      <c r="E43" s="13" t="inlineStr">
        <is>
          <t>New (to repair)</t>
        </is>
      </c>
      <c r="F43" s="12" t="inlineStr">
        <is>
          <t>Fuite box</t>
        </is>
      </c>
      <c r="G43" s="12" t="inlineStr">
        <is>
          <t>Il y’a un goutte a goutte continue sous la box au niveau de l’entrée de l’air frais</t>
        </is>
      </c>
      <c r="H43" s="22" t="inlineStr">
        <is>
          <t>Diagnostic à faire</t>
        </is>
      </c>
      <c r="I43" s="12" t="inlineStr">
        <is>
          <t>—</t>
        </is>
      </c>
    </row>
    <row r="44">
      <c r="A44" s="13" t="inlineStr">
        <is>
          <t>12488187921</t>
        </is>
      </c>
      <c r="B44" s="11" t="inlineStr">
        <is>
          <t>Suisse</t>
        </is>
      </c>
      <c r="C44" s="13" t="inlineStr">
        <is>
          <t>BW-0074 BOX 30</t>
        </is>
      </c>
      <c r="D44" s="13" t="inlineStr">
        <is>
          <t>2026-06-24</t>
        </is>
      </c>
      <c r="E44" s="13" t="inlineStr">
        <is>
          <t>New (to repair)</t>
        </is>
      </c>
      <c r="F44" s="12" t="inlineStr">
        <is>
          <t>Pump no works</t>
        </is>
      </c>
      <c r="G44" s="12" t="inlineStr">
        <is>
          <t>Pump no works</t>
        </is>
      </c>
      <c r="H44" s="22" t="inlineStr">
        <is>
          <t>Diagnostic à faire</t>
        </is>
      </c>
      <c r="I44" s="12" t="inlineStr">
        <is>
          <t>—</t>
        </is>
      </c>
    </row>
    <row r="45">
      <c r="A45" s="13" t="inlineStr">
        <is>
          <t>12488307592</t>
        </is>
      </c>
      <c r="B45" s="11" t="inlineStr">
        <is>
          <t>Suisse</t>
        </is>
      </c>
      <c r="C45" s="13" t="inlineStr">
        <is>
          <t>BW-0074 BOX 30</t>
        </is>
      </c>
      <c r="D45" s="13" t="inlineStr">
        <is>
          <t>2026-05-06</t>
        </is>
      </c>
      <c r="E45" s="13" t="inlineStr">
        <is>
          <t>New (to repair)</t>
        </is>
      </c>
      <c r="F45" s="12" t="inlineStr">
        <is>
          <t>Pump sometimes doesn’t work</t>
        </is>
      </c>
      <c r="G45" s="12" t="inlineStr">
        <is>
          <t>The pump sometimes works sometimes not. So the client haven’t sparkling water all time</t>
        </is>
      </c>
      <c r="H45" s="22" t="inlineStr">
        <is>
          <t>Diagnostic à faire</t>
        </is>
      </c>
      <c r="I45" s="12" t="inlineStr">
        <is>
          <t>—</t>
        </is>
      </c>
    </row>
    <row r="46">
      <c r="A46" s="13" t="inlineStr">
        <is>
          <t>12488600521</t>
        </is>
      </c>
      <c r="B46" s="11" t="inlineStr">
        <is>
          <t>Suisse</t>
        </is>
      </c>
      <c r="C46" s="13" t="inlineStr">
        <is>
          <t>BW-0074 BOX 30</t>
        </is>
      </c>
      <c r="D46" s="13" t="inlineStr">
        <is>
          <t>2026-07-08</t>
        </is>
      </c>
      <c r="E46" s="13" t="inlineStr">
        <is>
          <t>New (to repair)</t>
        </is>
      </c>
      <c r="F46" s="12" t="inlineStr">
        <is>
          <t>Pump no work</t>
        </is>
      </c>
      <c r="G46" s="12" t="inlineStr">
        <is>
          <t>Pump doesn’t work</t>
        </is>
      </c>
      <c r="H46" s="22" t="inlineStr">
        <is>
          <t>Diagnostic à faire</t>
        </is>
      </c>
      <c r="I46" s="12" t="inlineStr">
        <is>
          <t>—</t>
        </is>
      </c>
    </row>
    <row r="47">
      <c r="A47" s="13" t="inlineStr">
        <is>
          <t>12498931297</t>
        </is>
      </c>
      <c r="B47" s="11" t="inlineStr">
        <is>
          <t>Suisse</t>
        </is>
      </c>
      <c r="C47" s="13" t="inlineStr">
        <is>
          <t>BW-0074 BOX 30</t>
        </is>
      </c>
      <c r="D47" s="13" t="inlineStr">
        <is>
          <t>2026-07-10</t>
        </is>
      </c>
      <c r="E47" s="13" t="inlineStr">
        <is>
          <t>New (to repair)</t>
        </is>
      </c>
      <c r="F47" s="12" t="inlineStr">
        <is>
          <t>No pump after using a while</t>
        </is>
      </c>
      <c r="G47" s="12" t="inlineStr">
        <is>
          <t>Subject</t>
        </is>
      </c>
      <c r="H47" s="22" t="inlineStr">
        <is>
          <t>Diagnostic à faire</t>
        </is>
      </c>
      <c r="I47" s="12" t="inlineStr">
        <is>
          <t>—</t>
        </is>
      </c>
    </row>
    <row r="48">
      <c r="A48" s="13" t="inlineStr">
        <is>
          <t>12771268734</t>
        </is>
      </c>
      <c r="B48" s="11" t="inlineStr">
        <is>
          <t>Suisse</t>
        </is>
      </c>
      <c r="C48" s="13" t="inlineStr">
        <is>
          <t>BW-0074 BOX 30</t>
        </is>
      </c>
      <c r="D48" s="13" t="inlineStr">
        <is>
          <t>2026-07-31</t>
        </is>
      </c>
      <c r="E48" s="13" t="inlineStr">
        <is>
          <t>New (to repair)</t>
        </is>
      </c>
      <c r="F48" s="12" t="inlineStr">
        <is>
          <t>Box gelée</t>
        </is>
      </c>
      <c r="G48" s="12" t="inlineStr">
        <is>
          <t>Box gelée</t>
        </is>
      </c>
      <c r="H48" s="22" t="inlineStr">
        <is>
          <t>Diagnostic à faire</t>
        </is>
      </c>
      <c r="I48" s="12" t="inlineStr">
        <is>
          <t>—</t>
        </is>
      </c>
    </row>
    <row r="49">
      <c r="A49" s="13" t="inlineStr">
        <is>
          <t>12780892458</t>
        </is>
      </c>
      <c r="B49" s="11" t="inlineStr">
        <is>
          <t>Suisse</t>
        </is>
      </c>
      <c r="C49" s="13" t="inlineStr">
        <is>
          <t>BW-0074 BOX 30</t>
        </is>
      </c>
      <c r="D49" s="13" t="inlineStr">
        <is>
          <t>2026-08-12</t>
        </is>
      </c>
      <c r="E49" s="13" t="inlineStr">
        <is>
          <t>New (to repair)</t>
        </is>
      </c>
      <c r="F49" s="12" t="inlineStr">
        <is>
          <t>Boxe gelée</t>
        </is>
      </c>
      <c r="G49" s="12" t="inlineStr">
        <is>
          <t>Box gelée</t>
        </is>
      </c>
      <c r="H49" s="22" t="inlineStr">
        <is>
          <t>Diagnostic à faire</t>
        </is>
      </c>
      <c r="I49" s="12" t="inlineStr">
        <is>
          <t>—</t>
        </is>
      </c>
    </row>
    <row r="50">
      <c r="A50" s="13" t="inlineStr">
        <is>
          <t>12201056980</t>
        </is>
      </c>
      <c r="B50" s="11" t="inlineStr">
        <is>
          <t>Suisse</t>
        </is>
      </c>
      <c r="C50" s="13" t="inlineStr">
        <is>
          <t>BW-0271 PRO2 White</t>
        </is>
      </c>
      <c r="D50" s="13" t="inlineStr">
        <is>
          <t>2026-06-02</t>
        </is>
      </c>
      <c r="E50" s="13" t="inlineStr">
        <is>
          <t>New (to repair)</t>
        </is>
      </c>
      <c r="F50" s="12" t="inlineStr">
        <is>
          <t>Pas d’eau pétillante</t>
        </is>
      </c>
      <c r="G50" s="12" t="inlineStr">
        <is>
          <t>L’eau coule mais aucune pétillance box a contrôlé</t>
        </is>
      </c>
      <c r="H50" s="22" t="inlineStr">
        <is>
          <t>Diagnostic à faire</t>
        </is>
      </c>
      <c r="I50" s="12" t="inlineStr">
        <is>
          <t>—</t>
        </is>
      </c>
    </row>
    <row r="51">
      <c r="A51" s="13" t="inlineStr">
        <is>
          <t>12220631520</t>
        </is>
      </c>
      <c r="B51" s="11" t="inlineStr">
        <is>
          <t>Suisse</t>
        </is>
      </c>
      <c r="C51" s="13" t="inlineStr">
        <is>
          <t>BW-0271 PRO2 White</t>
        </is>
      </c>
      <c r="D51" s="13" t="inlineStr">
        <is>
          <t>2026-06-08</t>
        </is>
      </c>
      <c r="E51" s="13" t="inlineStr">
        <is>
          <t>New (to repair)</t>
        </is>
      </c>
      <c r="F51" s="12" t="inlineStr">
        <is>
          <t>À contrôler</t>
        </is>
      </c>
      <c r="G51" s="12" t="inlineStr">
        <is>
          <t>Désinstallation au golf de lavaux box à contrôler quand j’etait sur place l’eau gazeuse et ambiante fonctionner mais pas l’eau froide</t>
        </is>
      </c>
      <c r="H51" s="22" t="inlineStr">
        <is>
          <t>Diagnostic à faire</t>
        </is>
      </c>
      <c r="I51" s="12" t="inlineStr">
        <is>
          <t>—</t>
        </is>
      </c>
    </row>
    <row r="52">
      <c r="A52" s="13" t="inlineStr">
        <is>
          <t>12498878880</t>
        </is>
      </c>
      <c r="B52" s="11" t="inlineStr">
        <is>
          <t>Suisse</t>
        </is>
      </c>
      <c r="C52" s="13" t="inlineStr">
        <is>
          <t>BW-0271 PRO2 White</t>
        </is>
      </c>
      <c r="D52" s="13" t="inlineStr">
        <is>
          <t>2026-07-10</t>
        </is>
      </c>
      <c r="E52" s="13" t="inlineStr">
        <is>
          <t>New (to repair)</t>
        </is>
      </c>
      <c r="F52" s="12" t="inlineStr">
        <is>
          <t>Box not working after upgrade pro2</t>
        </is>
      </c>
      <c r="G52" s="12" t="inlineStr">
        <is>
          <t>Box fell on ground, sorry!</t>
        </is>
      </c>
      <c r="H52" s="22" t="inlineStr">
        <is>
          <t>Diagnostic à faire</t>
        </is>
      </c>
      <c r="I52" s="12" t="inlineStr">
        <is>
          <t>—</t>
        </is>
      </c>
    </row>
    <row r="53">
      <c r="A53" s="13" t="inlineStr">
        <is>
          <t>12498898179</t>
        </is>
      </c>
      <c r="B53" s="11" t="inlineStr">
        <is>
          <t>Suisse</t>
        </is>
      </c>
      <c r="C53" s="13" t="inlineStr">
        <is>
          <t>BW-0271.01 PRO2 Silver</t>
        </is>
      </c>
      <c r="D53" s="13" t="inlineStr">
        <is>
          <t>2026-07-10</t>
        </is>
      </c>
      <c r="E53" s="13" t="inlineStr">
        <is>
          <t>New (to repair)</t>
        </is>
      </c>
      <c r="F53" s="12" t="inlineStr">
        <is>
          <t>Box not pumping</t>
        </is>
      </c>
      <c r="G53" s="12" t="inlineStr">
        <is>
          <t>Box not pumping</t>
        </is>
      </c>
      <c r="H53" s="22" t="inlineStr">
        <is>
          <t>Diagnostic à faire</t>
        </is>
      </c>
      <c r="I53" s="12" t="inlineStr">
        <is>
          <t>—</t>
        </is>
      </c>
    </row>
    <row r="54">
      <c r="A54" s="13" t="inlineStr">
        <is>
          <t>12498901989</t>
        </is>
      </c>
      <c r="B54" s="11" t="inlineStr">
        <is>
          <t>Suisse</t>
        </is>
      </c>
      <c r="C54" s="13" t="inlineStr">
        <is>
          <t>BW-0272 PRO2 Black</t>
        </is>
      </c>
      <c r="D54" s="13" t="inlineStr">
        <is>
          <t>2026-07-10</t>
        </is>
      </c>
      <c r="E54" s="13" t="inlineStr">
        <is>
          <t>New (to repair)</t>
        </is>
      </c>
      <c r="F54" s="12" t="inlineStr">
        <is>
          <t>No cold water</t>
        </is>
      </c>
      <c r="G54" s="12" t="inlineStr">
        <is>
          <t>No cold water</t>
        </is>
      </c>
      <c r="H54" s="22" t="inlineStr">
        <is>
          <t>Diagnostic à faire</t>
        </is>
      </c>
      <c r="I54" s="12" t="inlineStr">
        <is>
          <t>—</t>
        </is>
      </c>
    </row>
    <row r="55">
      <c r="A55" s="13" t="inlineStr">
        <is>
          <t>12488576058</t>
        </is>
      </c>
      <c r="B55" s="11" t="inlineStr">
        <is>
          <t>Suisse</t>
        </is>
      </c>
      <c r="C55" s="13" t="inlineStr">
        <is>
          <t>BW-0272.01 PRO2 Black</t>
        </is>
      </c>
      <c r="D55" s="13" t="inlineStr">
        <is>
          <t>2026-07-09</t>
        </is>
      </c>
      <c r="E55" s="13" t="inlineStr">
        <is>
          <t>New (to repair)</t>
        </is>
      </c>
      <c r="F55" s="12" t="inlineStr">
        <is>
          <t>No function</t>
        </is>
      </c>
      <c r="G55" s="12" t="inlineStr">
        <is>
          <t>No power,no function, no electricity</t>
        </is>
      </c>
      <c r="H55" s="22" t="inlineStr">
        <is>
          <t>Diagnostic à faire</t>
        </is>
      </c>
      <c r="I55" s="12" t="inlineStr">
        <is>
          <t>—</t>
        </is>
      </c>
    </row>
    <row r="56">
      <c r="A56" s="13" t="inlineStr">
        <is>
          <t>12878533047</t>
        </is>
      </c>
      <c r="B56" s="11" t="inlineStr">
        <is>
          <t>Suisse</t>
        </is>
      </c>
      <c r="C56" s="13" t="inlineStr">
        <is>
          <t>BW-0272.01 PRO2 Black</t>
        </is>
      </c>
      <c r="D56" s="13" t="inlineStr">
        <is>
          <t>2026-08-24</t>
        </is>
      </c>
      <c r="E56" s="13" t="inlineStr">
        <is>
          <t>➡️ In progress (repair in progress)</t>
        </is>
      </c>
      <c r="F56" s="12" t="inlineStr">
        <is>
          <t>Pas d’eau plate + pas d’eau pétillante</t>
        </is>
      </c>
      <c r="G56" s="12" t="inlineStr">
        <is>
          <t>Pas d’eau plate + pas d’eau pétillante</t>
        </is>
      </c>
      <c r="H56" s="22" t="inlineStr">
        <is>
          <t>Diagnostic à faire</t>
        </is>
      </c>
      <c r="I56" s="12" t="inlineStr">
        <is>
          <t>—</t>
        </is>
      </c>
    </row>
    <row r="57">
      <c r="A57" s="13" t="inlineStr">
        <is>
          <t>12862944948</t>
        </is>
      </c>
      <c r="B57" s="11" t="inlineStr">
        <is>
          <t>Suisse</t>
        </is>
      </c>
      <c r="C57" s="13" t="inlineStr">
        <is>
          <t>BW-0617 BE CONNECT</t>
        </is>
      </c>
      <c r="D57" s="13" t="inlineStr">
        <is>
          <t>2027-01-17</t>
        </is>
      </c>
      <c r="E57" s="13" t="inlineStr">
        <is>
          <t>New (to repair)</t>
        </is>
      </c>
      <c r="F57" s="12" t="inlineStr">
        <is>
          <t>Be connecte boucher</t>
        </is>
      </c>
      <c r="G57" s="12" t="inlineStr">
        <is>
          <t>Comme si il | Était boucher</t>
        </is>
      </c>
      <c r="H57" s="22" t="inlineStr">
        <is>
          <t>Diagnostic à faire</t>
        </is>
      </c>
      <c r="I57" s="12" t="inlineStr">
        <is>
          <t>—</t>
        </is>
      </c>
    </row>
    <row r="59">
      <c r="A59" s="2" t="inlineStr">
        <is>
          <t>« Diagnostic à faire » = la description ne permet pas d'identifier une pièce (« Box not working correctly », « Box gelée », « Subject »). Ces lignes ne génèrent pas de commande en l'état.</t>
        </is>
      </c>
    </row>
  </sheetData>
  <autoFilter ref="A4:I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3" customWidth="1" min="4" max="4"/>
    <col width="62" customWidth="1" min="5" max="5"/>
    <col width="13" customWidth="1" min="6" max="6"/>
    <col width="13" customWidth="1" min="7" max="7"/>
    <col width="18" customWidth="1" min="8" max="8"/>
  </cols>
  <sheetData>
    <row r="1">
      <c r="A1" s="1" t="inlineStr">
        <is>
          <t>Tarif Blupura — Trascodifica REV00, 08.11.2024</t>
        </is>
      </c>
    </row>
    <row r="2">
      <c r="A2" s="2" t="inlineStr">
        <is>
          <t>545 références. Code actuel / alternatif → nouveau code de substitution, prix net unitaire en euros.</t>
        </is>
      </c>
    </row>
    <row r="4" ht="36" customHeight="1">
      <c r="A4" s="3" t="inlineStr">
        <is>
          <t>#</t>
        </is>
      </c>
      <c r="B4" s="3" t="inlineStr">
        <is>
          <t>Code actuel</t>
        </is>
      </c>
      <c r="C4" s="3" t="inlineStr">
        <is>
          <t>Code alternatif</t>
        </is>
      </c>
      <c r="D4" s="3" t="inlineStr">
        <is>
          <t>Nouveau code</t>
        </is>
      </c>
      <c r="E4" s="3" t="inlineStr">
        <is>
          <t>Désignation (EN)</t>
        </is>
      </c>
      <c r="F4" s="3" t="inlineStr">
        <is>
          <t>Prix net (EUR)</t>
        </is>
      </c>
      <c r="G4" s="3" t="inlineStr">
        <is>
          <t>Cond. (pcs/lot)</t>
        </is>
      </c>
      <c r="H4" s="3" t="inlineStr">
        <is>
          <t>SKU BW correspondant</t>
        </is>
      </c>
    </row>
    <row r="5">
      <c r="A5" s="23" t="n">
        <v>1</v>
      </c>
      <c r="B5" s="23" t="inlineStr">
        <is>
          <t>140955</t>
        </is>
      </c>
      <c r="C5" s="23" t="inlineStr">
        <is>
          <t>—</t>
        </is>
      </c>
      <c r="D5" s="23" t="inlineStr">
        <is>
          <t>760019</t>
        </is>
      </c>
      <c r="E5" s="23" t="inlineStr">
        <is>
          <t>SPARE SELFIZZ NEO TOP COVER</t>
        </is>
      </c>
      <c r="F5" s="24" t="n">
        <v>15.35</v>
      </c>
      <c r="G5" s="23" t="n">
        <v>1</v>
      </c>
      <c r="H5" s="23" t="inlineStr">
        <is>
          <t>—</t>
        </is>
      </c>
    </row>
    <row r="6">
      <c r="A6" s="23" t="n">
        <v>2</v>
      </c>
      <c r="B6" s="23" t="inlineStr">
        <is>
          <t>111472</t>
        </is>
      </c>
      <c r="C6" s="23" t="inlineStr">
        <is>
          <t>—</t>
        </is>
      </c>
      <c r="D6" s="23" t="inlineStr">
        <is>
          <t>760020</t>
        </is>
      </c>
      <c r="E6" s="23" t="inlineStr">
        <is>
          <t>SPARE SELFIZZ NEO RIGHT PANEL</t>
        </is>
      </c>
      <c r="F6" s="24" t="n">
        <v>43.8</v>
      </c>
      <c r="G6" s="23" t="n">
        <v>1</v>
      </c>
      <c r="H6" s="23" t="inlineStr">
        <is>
          <t>—</t>
        </is>
      </c>
    </row>
    <row r="7">
      <c r="A7" s="23" t="n">
        <v>3</v>
      </c>
      <c r="B7" s="23" t="inlineStr">
        <is>
          <t>111471</t>
        </is>
      </c>
      <c r="C7" s="23" t="inlineStr">
        <is>
          <t>—</t>
        </is>
      </c>
      <c r="D7" s="23" t="inlineStr">
        <is>
          <t>760021</t>
        </is>
      </c>
      <c r="E7" s="23" t="inlineStr">
        <is>
          <t>SPARE SELFIZZ NEO LEFT PANEL</t>
        </is>
      </c>
      <c r="F7" s="24" t="n">
        <v>43.8</v>
      </c>
      <c r="G7" s="23" t="n">
        <v>1</v>
      </c>
      <c r="H7" s="23" t="inlineStr">
        <is>
          <t>—</t>
        </is>
      </c>
    </row>
    <row r="8">
      <c r="A8" s="23" t="n">
        <v>4</v>
      </c>
      <c r="B8" s="23" t="inlineStr">
        <is>
          <t>140974</t>
        </is>
      </c>
      <c r="C8" s="23" t="inlineStr">
        <is>
          <t>—</t>
        </is>
      </c>
      <c r="D8" s="23" t="inlineStr">
        <is>
          <t>760030</t>
        </is>
      </c>
      <c r="E8" s="23" t="inlineStr">
        <is>
          <t>SPARE BIB CONNECTOR W/ELBOW FITTING</t>
        </is>
      </c>
      <c r="F8" s="24" t="n">
        <v>12.35</v>
      </c>
      <c r="G8" s="23" t="n">
        <v>1</v>
      </c>
      <c r="H8" s="23" t="inlineStr">
        <is>
          <t>—</t>
        </is>
      </c>
    </row>
    <row r="9">
      <c r="A9" s="23" t="n">
        <v>5</v>
      </c>
      <c r="B9" s="23" t="inlineStr">
        <is>
          <t>140034</t>
        </is>
      </c>
      <c r="C9" s="23" t="inlineStr">
        <is>
          <t>—</t>
        </is>
      </c>
      <c r="D9" s="23" t="inlineStr">
        <is>
          <t>760031</t>
        </is>
      </c>
      <c r="E9" s="23" t="inlineStr">
        <is>
          <t>SPARE N.10 PCS. TEE FITTING 8MM PM0208E</t>
        </is>
      </c>
      <c r="F9" s="24" t="n">
        <v>28</v>
      </c>
      <c r="G9" s="23" t="n">
        <v>10</v>
      </c>
      <c r="H9" s="23" t="inlineStr">
        <is>
          <t>—</t>
        </is>
      </c>
    </row>
    <row r="10">
      <c r="A10" s="23" t="n">
        <v>6</v>
      </c>
      <c r="B10" s="23" t="inlineStr">
        <is>
          <t>120232</t>
        </is>
      </c>
      <c r="C10" s="23" t="inlineStr">
        <is>
          <t>750244</t>
        </is>
      </c>
      <c r="D10" s="23" t="inlineStr">
        <is>
          <t>760032</t>
        </is>
      </c>
      <c r="E10" s="23" t="inlineStr">
        <is>
          <t>SPARE FAN 120x120x25 230V</t>
        </is>
      </c>
      <c r="F10" s="24" t="n">
        <v>24.8</v>
      </c>
      <c r="G10" s="23" t="n">
        <v>1</v>
      </c>
      <c r="H10" s="6" t="inlineStr">
        <is>
          <t>BW-0191</t>
        </is>
      </c>
    </row>
    <row r="11">
      <c r="A11" s="23" t="n">
        <v>7</v>
      </c>
      <c r="B11" s="23" t="inlineStr">
        <is>
          <t>130053</t>
        </is>
      </c>
      <c r="C11" s="23" t="inlineStr">
        <is>
          <t>—</t>
        </is>
      </c>
      <c r="D11" s="23" t="inlineStr">
        <is>
          <t>760033</t>
        </is>
      </c>
      <c r="E11" s="23" t="inlineStr">
        <is>
          <t>SPARE BOOSTER PUMP 220-240V 50/60HZ 135PSI</t>
        </is>
      </c>
      <c r="F11" s="24" t="n">
        <v>152.85</v>
      </c>
      <c r="G11" s="23" t="n">
        <v>1</v>
      </c>
      <c r="H11" s="6" t="inlineStr">
        <is>
          <t>BW-0192</t>
        </is>
      </c>
    </row>
    <row r="12">
      <c r="A12" s="23" t="n">
        <v>8</v>
      </c>
      <c r="B12" s="23" t="inlineStr">
        <is>
          <t>150069</t>
        </is>
      </c>
      <c r="C12" s="23" t="inlineStr">
        <is>
          <t>—</t>
        </is>
      </c>
      <c r="D12" s="23" t="inlineStr">
        <is>
          <t>760034</t>
        </is>
      </c>
      <c r="E12" s="23" t="inlineStr">
        <is>
          <t>SPARE SOLENOID VALVE IN 3/4"M - OUT 8MM 24VAC W/FITTING 8MM AND BRACKET</t>
        </is>
      </c>
      <c r="F12" s="24" t="n">
        <v>15.55</v>
      </c>
      <c r="G12" s="23" t="n">
        <v>1</v>
      </c>
      <c r="H12" s="23" t="inlineStr">
        <is>
          <t>—</t>
        </is>
      </c>
    </row>
    <row r="13">
      <c r="A13" s="23" t="n">
        <v>9</v>
      </c>
      <c r="B13" s="23" t="inlineStr">
        <is>
          <t>130009</t>
        </is>
      </c>
      <c r="C13" s="23" t="inlineStr">
        <is>
          <t>—</t>
        </is>
      </c>
      <c r="D13" s="23" t="inlineStr">
        <is>
          <t>760035</t>
        </is>
      </c>
      <c r="E13" s="23" t="inlineStr">
        <is>
          <t>SPARE 1L CARBONATOR 1PROBE</t>
        </is>
      </c>
      <c r="F13" s="24" t="n">
        <v>79.3</v>
      </c>
      <c r="G13" s="23" t="n">
        <v>1</v>
      </c>
      <c r="H13" s="6" t="inlineStr">
        <is>
          <t>BW-0287</t>
        </is>
      </c>
    </row>
    <row r="14">
      <c r="A14" s="23" t="n">
        <v>10</v>
      </c>
      <c r="B14" s="23" t="inlineStr">
        <is>
          <t>810348</t>
        </is>
      </c>
      <c r="C14" s="23" t="inlineStr">
        <is>
          <t>750320</t>
        </is>
      </c>
      <c r="D14" s="23" t="inlineStr">
        <is>
          <t>760036</t>
        </is>
      </c>
      <c r="E14" s="23" t="inlineStr">
        <is>
          <t>SPARE PREASSEMBLED BLUGLASS 30 FRONT GLASS</t>
        </is>
      </c>
      <c r="F14" s="24" t="n">
        <v>145.25</v>
      </c>
      <c r="G14" s="23" t="n">
        <v>1</v>
      </c>
      <c r="H14" s="23" t="inlineStr">
        <is>
          <t>—</t>
        </is>
      </c>
    </row>
    <row r="15">
      <c r="A15" s="23" t="n">
        <v>11</v>
      </c>
      <c r="B15" s="23" t="inlineStr">
        <is>
          <t>130008</t>
        </is>
      </c>
      <c r="C15" s="23" t="inlineStr">
        <is>
          <t>—</t>
        </is>
      </c>
      <c r="D15" s="23" t="inlineStr">
        <is>
          <t>760037</t>
        </is>
      </c>
      <c r="E15" s="23" t="inlineStr">
        <is>
          <t>SPARE 1L STAINLESS STEEL CARBONATOR 1PROBE</t>
        </is>
      </c>
      <c r="F15" s="24" t="n">
        <v>97.65000000000001</v>
      </c>
      <c r="G15" s="23" t="n">
        <v>1</v>
      </c>
      <c r="H15" s="6" t="inlineStr">
        <is>
          <t>BW-0288</t>
        </is>
      </c>
    </row>
    <row r="16">
      <c r="A16" s="23" t="n">
        <v>12</v>
      </c>
      <c r="B16" s="23" t="inlineStr">
        <is>
          <t>130049A</t>
        </is>
      </c>
      <c r="C16" s="23" t="inlineStr">
        <is>
          <t>—</t>
        </is>
      </c>
      <c r="D16" s="23" t="inlineStr">
        <is>
          <t>760038</t>
        </is>
      </c>
      <c r="E16" s="23" t="inlineStr">
        <is>
          <t>SPARE ROTARY PUMP 100 L/H</t>
        </is>
      </c>
      <c r="F16" s="24" t="n">
        <v>75.59999999999999</v>
      </c>
      <c r="G16" s="23" t="n">
        <v>1</v>
      </c>
      <c r="H16" s="23" t="inlineStr">
        <is>
          <t>—</t>
        </is>
      </c>
    </row>
    <row r="17">
      <c r="A17" s="23" t="n">
        <v>13</v>
      </c>
      <c r="B17" s="23" t="inlineStr">
        <is>
          <t>110894</t>
        </is>
      </c>
      <c r="C17" s="23" t="inlineStr">
        <is>
          <t>—</t>
        </is>
      </c>
      <c r="D17" s="23" t="inlineStr">
        <is>
          <t>760039</t>
        </is>
      </c>
      <c r="E17" s="23" t="inlineStr">
        <is>
          <t>SPARE BIOREFRESH LEFT PANEL</t>
        </is>
      </c>
      <c r="F17" s="24" t="n">
        <v>45.4</v>
      </c>
      <c r="G17" s="23" t="n">
        <v>1</v>
      </c>
      <c r="H17" s="23" t="inlineStr">
        <is>
          <t>—</t>
        </is>
      </c>
    </row>
    <row r="18">
      <c r="A18" s="23" t="n">
        <v>14</v>
      </c>
      <c r="B18" s="23" t="inlineStr">
        <is>
          <t>110895</t>
        </is>
      </c>
      <c r="C18" s="23" t="inlineStr">
        <is>
          <t>—</t>
        </is>
      </c>
      <c r="D18" s="23" t="inlineStr">
        <is>
          <t>760040</t>
        </is>
      </c>
      <c r="E18" s="23" t="inlineStr">
        <is>
          <t>SPARE BIOREFRESH RIGHT PANEL</t>
        </is>
      </c>
      <c r="F18" s="24" t="n">
        <v>41.9</v>
      </c>
      <c r="G18" s="23" t="n">
        <v>1</v>
      </c>
      <c r="H18" s="23" t="inlineStr">
        <is>
          <t>—</t>
        </is>
      </c>
    </row>
    <row r="19">
      <c r="A19" s="23" t="n">
        <v>15</v>
      </c>
      <c r="B19" s="23" t="inlineStr">
        <is>
          <t>150031</t>
        </is>
      </c>
      <c r="C19" s="23" t="inlineStr">
        <is>
          <t>750262</t>
        </is>
      </c>
      <c r="D19" s="23" t="inlineStr">
        <is>
          <t>760041</t>
        </is>
      </c>
      <c r="E19" s="23" t="inlineStr">
        <is>
          <t>SPARE THERMOSTAT W/HEAT SHRINK SLEEVE</t>
        </is>
      </c>
      <c r="F19" s="24" t="n">
        <v>13.4</v>
      </c>
      <c r="G19" s="23" t="n">
        <v>1</v>
      </c>
      <c r="H19" s="6" t="inlineStr">
        <is>
          <t>BW-0186</t>
        </is>
      </c>
    </row>
    <row r="20">
      <c r="A20" s="23" t="n">
        <v>16</v>
      </c>
      <c r="B20" s="23" t="inlineStr">
        <is>
          <t>810704</t>
        </is>
      </c>
      <c r="C20" s="23" t="inlineStr">
        <is>
          <t>—</t>
        </is>
      </c>
      <c r="D20" s="23" t="inlineStr">
        <is>
          <t>760042</t>
        </is>
      </c>
      <c r="E20" s="23" t="inlineStr">
        <is>
          <t>SPARE PREASSEMBLED BLUSODA 30 FRONT PANEL</t>
        </is>
      </c>
      <c r="F20" s="24" t="n">
        <v>95.40000000000001</v>
      </c>
      <c r="G20" s="23" t="n">
        <v>1</v>
      </c>
      <c r="H20" s="23" t="inlineStr">
        <is>
          <t>—</t>
        </is>
      </c>
    </row>
    <row r="21">
      <c r="A21" s="23" t="n">
        <v>17</v>
      </c>
      <c r="B21" s="23" t="inlineStr">
        <is>
          <t>150146</t>
        </is>
      </c>
      <c r="C21" s="23" t="inlineStr">
        <is>
          <t>—</t>
        </is>
      </c>
      <c r="D21" s="23" t="inlineStr">
        <is>
          <t>760044</t>
        </is>
      </c>
      <c r="E21" s="23" t="inlineStr">
        <is>
          <t>SPARE STAINLESS STEEL NEUTRAL PUSH BUTTON NO LIGHT</t>
        </is>
      </c>
      <c r="F21" s="24" t="n">
        <v>13</v>
      </c>
      <c r="G21" s="23" t="n">
        <v>1</v>
      </c>
      <c r="H21" s="6" t="inlineStr">
        <is>
          <t>BW-0396</t>
        </is>
      </c>
    </row>
    <row r="22">
      <c r="A22" s="23" t="n">
        <v>18</v>
      </c>
      <c r="B22" s="23" t="inlineStr">
        <is>
          <t>151016</t>
        </is>
      </c>
      <c r="C22" s="23" t="inlineStr">
        <is>
          <t>—</t>
        </is>
      </c>
      <c r="D22" s="23" t="inlineStr">
        <is>
          <t>760045</t>
        </is>
      </c>
      <c r="E22" s="23" t="inlineStr">
        <is>
          <t>SPARE LEVEL CONTROL PLUS AMBIENT, COLD AND FIZZ</t>
        </is>
      </c>
      <c r="F22" s="24" t="n">
        <v>66.55</v>
      </c>
      <c r="G22" s="23" t="n">
        <v>1</v>
      </c>
      <c r="H22" s="23" t="inlineStr">
        <is>
          <t>—</t>
        </is>
      </c>
    </row>
    <row r="23">
      <c r="A23" s="23" t="n">
        <v>19</v>
      </c>
      <c r="B23" s="23" t="inlineStr">
        <is>
          <t>151023</t>
        </is>
      </c>
      <c r="C23" s="23" t="inlineStr">
        <is>
          <t>—</t>
        </is>
      </c>
      <c r="D23" s="23" t="inlineStr">
        <is>
          <t>760046</t>
        </is>
      </c>
      <c r="E23" s="23" t="inlineStr">
        <is>
          <t>SPARE FIREWALL CONTROL BOARD</t>
        </is>
      </c>
      <c r="F23" s="24" t="n">
        <v>55.6</v>
      </c>
      <c r="G23" s="23" t="n">
        <v>1</v>
      </c>
      <c r="H23" s="23" t="inlineStr">
        <is>
          <t>—</t>
        </is>
      </c>
    </row>
    <row r="24">
      <c r="A24" s="23" t="n">
        <v>20</v>
      </c>
      <c r="B24" s="23" t="inlineStr">
        <is>
          <t>—</t>
        </is>
      </c>
      <c r="C24" s="23" t="inlineStr">
        <is>
          <t>750112</t>
        </is>
      </c>
      <c r="D24" s="23" t="inlineStr">
        <is>
          <t>760047</t>
        </is>
      </c>
      <c r="E24" s="23" t="inlineStr">
        <is>
          <t>SPARE BLUSODA/BLUBAR 30 DRIP TRAY W/GRILL</t>
        </is>
      </c>
      <c r="F24" s="24" t="n">
        <v>29.65</v>
      </c>
      <c r="G24" s="23" t="n">
        <v>1</v>
      </c>
      <c r="H24" s="23" t="inlineStr">
        <is>
          <t>—</t>
        </is>
      </c>
    </row>
    <row r="25">
      <c r="A25" s="23" t="n">
        <v>21</v>
      </c>
      <c r="B25" s="23" t="inlineStr">
        <is>
          <t>110453</t>
        </is>
      </c>
      <c r="C25" s="23" t="inlineStr">
        <is>
          <t>—</t>
        </is>
      </c>
      <c r="D25" s="23" t="inlineStr">
        <is>
          <t>760048</t>
        </is>
      </c>
      <c r="E25" s="23" t="inlineStr">
        <is>
          <t>SPARE BLUSODA 30 SIDE PANEL</t>
        </is>
      </c>
      <c r="F25" s="24" t="n">
        <v>18.95</v>
      </c>
      <c r="G25" s="23" t="n">
        <v>1</v>
      </c>
      <c r="H25" s="23" t="inlineStr">
        <is>
          <t>—</t>
        </is>
      </c>
    </row>
    <row r="26">
      <c r="A26" s="23" t="n">
        <v>22</v>
      </c>
      <c r="B26" s="23" t="inlineStr">
        <is>
          <t>—</t>
        </is>
      </c>
      <c r="C26" s="23" t="inlineStr">
        <is>
          <t>750243</t>
        </is>
      </c>
      <c r="D26" s="23" t="inlineStr">
        <is>
          <t>760049</t>
        </is>
      </c>
      <c r="E26" s="23" t="inlineStr">
        <is>
          <t>SPARE FAN 120x120x38 W/THREADING</t>
        </is>
      </c>
      <c r="F26" s="24" t="n">
        <v>23.8</v>
      </c>
      <c r="G26" s="23" t="n">
        <v>1</v>
      </c>
      <c r="H26" s="6" t="inlineStr">
        <is>
          <t>BW-0195</t>
        </is>
      </c>
    </row>
    <row r="27">
      <c r="A27" s="23" t="n">
        <v>23</v>
      </c>
      <c r="B27" s="23" t="inlineStr">
        <is>
          <t>151035</t>
        </is>
      </c>
      <c r="C27" s="23" t="inlineStr">
        <is>
          <t>—</t>
        </is>
      </c>
      <c r="D27" s="23" t="inlineStr">
        <is>
          <t>760050</t>
        </is>
      </c>
      <c r="E27" s="23" t="inlineStr">
        <is>
          <t>SPARE SELFIZZ NEO RGB LED STRIP 10CM</t>
        </is>
      </c>
      <c r="F27" s="24" t="n">
        <v>11.98</v>
      </c>
      <c r="G27" s="23" t="n">
        <v>1</v>
      </c>
      <c r="H27" s="23" t="inlineStr">
        <is>
          <t>—</t>
        </is>
      </c>
    </row>
    <row r="28">
      <c r="A28" s="23" t="n">
        <v>24</v>
      </c>
      <c r="B28" s="23" t="inlineStr">
        <is>
          <t>150525</t>
        </is>
      </c>
      <c r="C28" s="23" t="inlineStr">
        <is>
          <t>—</t>
        </is>
      </c>
      <c r="D28" s="23" t="inlineStr">
        <is>
          <t>760051</t>
        </is>
      </c>
      <c r="E28" s="23" t="inlineStr">
        <is>
          <t>SPARE BIOREFRESH THERMOSTAT KP4A1</t>
        </is>
      </c>
      <c r="F28" s="24" t="n">
        <v>12.15</v>
      </c>
      <c r="G28" s="23" t="n">
        <v>1</v>
      </c>
      <c r="H28" s="6" t="inlineStr">
        <is>
          <t>BW-0194</t>
        </is>
      </c>
    </row>
    <row r="29">
      <c r="A29" s="23" t="n">
        <v>25</v>
      </c>
      <c r="B29" s="23" t="inlineStr">
        <is>
          <t>—</t>
        </is>
      </c>
      <c r="C29" s="23" t="inlineStr">
        <is>
          <t>750125</t>
        </is>
      </c>
      <c r="D29" s="23" t="inlineStr">
        <is>
          <t>760052</t>
        </is>
      </c>
      <c r="E29" s="23" t="inlineStr">
        <is>
          <t>SPARE BLUSODA 45 DRIP TRAY W/GRILL</t>
        </is>
      </c>
      <c r="F29" s="24" t="n">
        <v>38.4</v>
      </c>
      <c r="G29" s="23" t="n">
        <v>1</v>
      </c>
      <c r="H29" s="23" t="inlineStr">
        <is>
          <t>—</t>
        </is>
      </c>
    </row>
    <row r="30">
      <c r="A30" s="23" t="n">
        <v>26</v>
      </c>
      <c r="B30" s="23" t="inlineStr">
        <is>
          <t>150016</t>
        </is>
      </c>
      <c r="C30" s="23" t="inlineStr">
        <is>
          <t>—</t>
        </is>
      </c>
      <c r="D30" s="23" t="inlineStr">
        <is>
          <t>760053</t>
        </is>
      </c>
      <c r="E30" s="23" t="inlineStr">
        <is>
          <t>SPARE TRANSFORMER 230/24V 25VA</t>
        </is>
      </c>
      <c r="F30" s="24" t="n">
        <v>21.75</v>
      </c>
      <c r="G30" s="23" t="n">
        <v>1</v>
      </c>
      <c r="H30" s="6" t="inlineStr">
        <is>
          <t>BW-0293</t>
        </is>
      </c>
    </row>
    <row r="31">
      <c r="A31" s="23" t="n">
        <v>27</v>
      </c>
      <c r="B31" s="23" t="inlineStr">
        <is>
          <t>110673</t>
        </is>
      </c>
      <c r="C31" s="23" t="inlineStr">
        <is>
          <t>—</t>
        </is>
      </c>
      <c r="D31" s="23" t="inlineStr">
        <is>
          <t>760054</t>
        </is>
      </c>
      <c r="E31" s="23" t="inlineStr">
        <is>
          <t>SPARE BLUSODA 45 TOP COVER</t>
        </is>
      </c>
      <c r="F31" s="24" t="n">
        <v>15.95</v>
      </c>
      <c r="G31" s="23" t="n">
        <v>1</v>
      </c>
      <c r="H31" s="23" t="inlineStr">
        <is>
          <t>—</t>
        </is>
      </c>
    </row>
    <row r="32">
      <c r="A32" s="23" t="n">
        <v>28</v>
      </c>
      <c r="B32" s="23" t="inlineStr">
        <is>
          <t>110675</t>
        </is>
      </c>
      <c r="C32" s="23" t="inlineStr">
        <is>
          <t>—</t>
        </is>
      </c>
      <c r="D32" s="23" t="inlineStr">
        <is>
          <t>760055</t>
        </is>
      </c>
      <c r="E32" s="23" t="inlineStr">
        <is>
          <t>SPARE BLUSODA 45 SIDE PANEL</t>
        </is>
      </c>
      <c r="F32" s="24" t="n">
        <v>22.45</v>
      </c>
      <c r="G32" s="23" t="n">
        <v>1</v>
      </c>
      <c r="H32" s="23" t="inlineStr">
        <is>
          <t>—</t>
        </is>
      </c>
    </row>
    <row r="33">
      <c r="A33" s="23" t="n">
        <v>29</v>
      </c>
      <c r="B33" s="23" t="inlineStr">
        <is>
          <t>150461</t>
        </is>
      </c>
      <c r="C33" s="23" t="inlineStr">
        <is>
          <t>—</t>
        </is>
      </c>
      <c r="D33" s="23" t="inlineStr">
        <is>
          <t>760056</t>
        </is>
      </c>
      <c r="E33" s="23" t="inlineStr">
        <is>
          <t>SPARE ELECTRONIC BOARD BIOREFRESH AMBIENT AND COLD</t>
        </is>
      </c>
      <c r="F33" s="24" t="n">
        <v>39.95</v>
      </c>
      <c r="G33" s="23" t="n">
        <v>1</v>
      </c>
      <c r="H33" s="23" t="inlineStr">
        <is>
          <t>—</t>
        </is>
      </c>
    </row>
    <row r="34">
      <c r="A34" s="23" t="n">
        <v>30</v>
      </c>
      <c r="B34" s="23" t="inlineStr">
        <is>
          <t>810705</t>
        </is>
      </c>
      <c r="C34" s="23" t="inlineStr">
        <is>
          <t>—</t>
        </is>
      </c>
      <c r="D34" s="23" t="inlineStr">
        <is>
          <t>760057</t>
        </is>
      </c>
      <c r="E34" s="23" t="inlineStr">
        <is>
          <t>SPARE PREASSEMBLED BLUSODA 45 FRONT PANEL</t>
        </is>
      </c>
      <c r="F34" s="24" t="n">
        <v>98.55</v>
      </c>
      <c r="G34" s="23" t="n">
        <v>1</v>
      </c>
      <c r="H34" s="23" t="inlineStr">
        <is>
          <t>—</t>
        </is>
      </c>
    </row>
    <row r="35">
      <c r="A35" s="23" t="n">
        <v>31</v>
      </c>
      <c r="B35" s="23" t="inlineStr">
        <is>
          <t>150157</t>
        </is>
      </c>
      <c r="C35" s="23" t="inlineStr">
        <is>
          <t>—</t>
        </is>
      </c>
      <c r="D35" s="23" t="inlineStr">
        <is>
          <t>760058</t>
        </is>
      </c>
      <c r="E35" s="23" t="inlineStr">
        <is>
          <t>SPARE MAIN POWER SWITCH BLACK</t>
        </is>
      </c>
      <c r="F35" s="24" t="n">
        <v>4.1</v>
      </c>
      <c r="G35" s="23" t="n">
        <v>1</v>
      </c>
      <c r="H35" s="6" t="inlineStr">
        <is>
          <t>BW-0439</t>
        </is>
      </c>
    </row>
    <row r="36">
      <c r="A36" s="23" t="n">
        <v>32</v>
      </c>
      <c r="B36" s="23" t="inlineStr">
        <is>
          <t>150024</t>
        </is>
      </c>
      <c r="C36" s="23" t="inlineStr">
        <is>
          <t>—</t>
        </is>
      </c>
      <c r="D36" s="23" t="inlineStr">
        <is>
          <t>760059</t>
        </is>
      </c>
      <c r="E36" s="23" t="inlineStr">
        <is>
          <t>SPARE PRESSURE SWITCH 2,6BAR</t>
        </is>
      </c>
      <c r="F36" s="24" t="n">
        <v>12.65</v>
      </c>
      <c r="G36" s="23" t="n">
        <v>1</v>
      </c>
      <c r="H36" s="23" t="inlineStr">
        <is>
          <t>—</t>
        </is>
      </c>
    </row>
    <row r="37">
      <c r="A37" s="23" t="n">
        <v>33</v>
      </c>
      <c r="B37" s="23" t="inlineStr">
        <is>
          <t>150385</t>
        </is>
      </c>
      <c r="C37" s="23" t="inlineStr">
        <is>
          <t>750119</t>
        </is>
      </c>
      <c r="D37" s="23" t="inlineStr">
        <is>
          <t>760060</t>
        </is>
      </c>
      <c r="E37" s="23" t="inlineStr">
        <is>
          <t>SPARE LEVEL CONTROL DC 230V W/RETROFIT CABLE</t>
        </is>
      </c>
      <c r="F37" s="24" t="n">
        <v>54.1</v>
      </c>
      <c r="G37" s="23" t="n">
        <v>1</v>
      </c>
      <c r="H37" s="6" t="inlineStr">
        <is>
          <t>BW-0187</t>
        </is>
      </c>
    </row>
    <row r="38">
      <c r="A38" s="23" t="n">
        <v>34</v>
      </c>
      <c r="B38" s="23" t="inlineStr">
        <is>
          <t>150205</t>
        </is>
      </c>
      <c r="C38" s="23" t="inlineStr">
        <is>
          <t>—</t>
        </is>
      </c>
      <c r="D38" s="23" t="inlineStr">
        <is>
          <t>760061</t>
        </is>
      </c>
      <c r="E38" s="23" t="inlineStr">
        <is>
          <t>SPARE 1UV INVERTER</t>
        </is>
      </c>
      <c r="F38" s="24" t="n">
        <v>42</v>
      </c>
      <c r="G38" s="23" t="n">
        <v>1</v>
      </c>
      <c r="H38" s="6" t="inlineStr">
        <is>
          <t>BW-0403</t>
        </is>
      </c>
    </row>
    <row r="39">
      <c r="A39" s="23" t="n">
        <v>35</v>
      </c>
      <c r="B39" s="23" t="inlineStr">
        <is>
          <t>130048A</t>
        </is>
      </c>
      <c r="C39" s="23" t="inlineStr">
        <is>
          <t>—</t>
        </is>
      </c>
      <c r="D39" s="23" t="inlineStr">
        <is>
          <t>760062</t>
        </is>
      </c>
      <c r="E39" s="23" t="inlineStr">
        <is>
          <t>SPARE PUMP MOTOR 220V 120W 100L</t>
        </is>
      </c>
      <c r="F39" s="24" t="n">
        <v>86.5</v>
      </c>
      <c r="G39" s="23" t="n">
        <v>1</v>
      </c>
      <c r="H39" s="6" t="inlineStr">
        <is>
          <t>BW-0417</t>
        </is>
      </c>
    </row>
    <row r="40">
      <c r="A40" s="23" t="n">
        <v>36</v>
      </c>
      <c r="B40" s="23" t="inlineStr">
        <is>
          <t>150861</t>
        </is>
      </c>
      <c r="C40" s="23" t="inlineStr">
        <is>
          <t>—</t>
        </is>
      </c>
      <c r="D40" s="23" t="inlineStr">
        <is>
          <t>760063</t>
        </is>
      </c>
      <c r="E40" s="23" t="inlineStr">
        <is>
          <t>SPARE IEC SOCKET W/FILTER</t>
        </is>
      </c>
      <c r="F40" s="24" t="n">
        <v>14</v>
      </c>
      <c r="G40" s="23" t="n">
        <v>1</v>
      </c>
      <c r="H40" s="23" t="inlineStr">
        <is>
          <t>—</t>
        </is>
      </c>
    </row>
    <row r="41">
      <c r="A41" s="23" t="n">
        <v>37</v>
      </c>
      <c r="B41" s="23" t="inlineStr">
        <is>
          <t>150087</t>
        </is>
      </c>
      <c r="C41" s="23" t="inlineStr">
        <is>
          <t>—</t>
        </is>
      </c>
      <c r="D41" s="23" t="inlineStr">
        <is>
          <t>760064</t>
        </is>
      </c>
      <c r="E41" s="23" t="inlineStr">
        <is>
          <t>SPARE 2M POWER CABLE WITH SCHUKO PLUG</t>
        </is>
      </c>
      <c r="F41" s="24" t="n">
        <v>7.3</v>
      </c>
      <c r="G41" s="23" t="n">
        <v>1</v>
      </c>
      <c r="H41" s="6" t="inlineStr">
        <is>
          <t>BW-0423</t>
        </is>
      </c>
    </row>
    <row r="42">
      <c r="A42" s="23" t="n">
        <v>38</v>
      </c>
      <c r="B42" s="23" t="inlineStr">
        <is>
          <t>150071</t>
        </is>
      </c>
      <c r="C42" s="23" t="inlineStr">
        <is>
          <t>—</t>
        </is>
      </c>
      <c r="D42" s="23" t="inlineStr">
        <is>
          <t>760065</t>
        </is>
      </c>
      <c r="E42" s="23" t="inlineStr">
        <is>
          <t>SPARE TRANSFORMER 230/24V 40VA</t>
        </is>
      </c>
      <c r="F42" s="24" t="n">
        <v>30.7</v>
      </c>
      <c r="G42" s="23" t="n">
        <v>1</v>
      </c>
      <c r="H42" s="6" t="inlineStr">
        <is>
          <t>BW-0408</t>
        </is>
      </c>
    </row>
    <row r="43">
      <c r="A43" s="23" t="n">
        <v>39</v>
      </c>
      <c r="B43" s="23" t="inlineStr">
        <is>
          <t>150486</t>
        </is>
      </c>
      <c r="C43" s="23" t="inlineStr">
        <is>
          <t>—</t>
        </is>
      </c>
      <c r="D43" s="23" t="inlineStr">
        <is>
          <t>760066</t>
        </is>
      </c>
      <c r="E43" s="23" t="inlineStr">
        <is>
          <t>SPARE SOLENOID VALVE 3IN 1/4" - 1OUT 5/16" W/BRACKET SELFIZZ</t>
        </is>
      </c>
      <c r="F43" s="24" t="n">
        <v>35.55</v>
      </c>
      <c r="G43" s="23" t="n">
        <v>1</v>
      </c>
      <c r="H43" s="23" t="inlineStr">
        <is>
          <t>—</t>
        </is>
      </c>
    </row>
    <row r="44">
      <c r="A44" s="23" t="n">
        <v>40</v>
      </c>
      <c r="B44" s="23" t="inlineStr">
        <is>
          <t>150150</t>
        </is>
      </c>
      <c r="C44" s="23" t="inlineStr">
        <is>
          <t>—</t>
        </is>
      </c>
      <c r="D44" s="23" t="inlineStr">
        <is>
          <t>760067</t>
        </is>
      </c>
      <c r="E44" s="23" t="inlineStr">
        <is>
          <t>SPARE SOLENOID VALVE 3IN M10x1 - 1OUT 1/4"M 24VAC</t>
        </is>
      </c>
      <c r="F44" s="24" t="n">
        <v>33.7</v>
      </c>
      <c r="G44" s="23" t="n">
        <v>1</v>
      </c>
      <c r="H44" s="23" t="inlineStr">
        <is>
          <t>—</t>
        </is>
      </c>
    </row>
    <row r="45">
      <c r="A45" s="23" t="n">
        <v>41</v>
      </c>
      <c r="B45" s="23" t="inlineStr">
        <is>
          <t>111605</t>
        </is>
      </c>
      <c r="C45" s="23" t="inlineStr">
        <is>
          <t>—</t>
        </is>
      </c>
      <c r="D45" s="23" t="inlineStr">
        <is>
          <t>760068</t>
        </is>
      </c>
      <c r="E45" s="23" t="inlineStr">
        <is>
          <t>SPARE SELFIZZ NEO STAINLESS STEEL SPOUT</t>
        </is>
      </c>
      <c r="F45" s="24" t="n">
        <v>20.5</v>
      </c>
      <c r="G45" s="23" t="n">
        <v>1</v>
      </c>
      <c r="H45" s="23" t="inlineStr">
        <is>
          <t>—</t>
        </is>
      </c>
    </row>
    <row r="46">
      <c r="A46" s="23" t="n">
        <v>42</v>
      </c>
      <c r="B46" s="23" t="inlineStr">
        <is>
          <t>810039</t>
        </is>
      </c>
      <c r="C46" s="23" t="inlineStr">
        <is>
          <t>—</t>
        </is>
      </c>
      <c r="D46" s="23" t="inlineStr">
        <is>
          <t>760069</t>
        </is>
      </c>
      <c r="E46" s="23" t="inlineStr">
        <is>
          <t>SPARE PREASSEMBLED BLUSODA HOT 30 FRONT PANEL</t>
        </is>
      </c>
      <c r="F46" s="24" t="n">
        <v>97.75</v>
      </c>
      <c r="G46" s="23" t="n">
        <v>1</v>
      </c>
      <c r="H46" s="23" t="inlineStr">
        <is>
          <t>—</t>
        </is>
      </c>
    </row>
    <row r="47">
      <c r="A47" s="23" t="n">
        <v>43</v>
      </c>
      <c r="B47" s="23" t="inlineStr">
        <is>
          <t>150422</t>
        </is>
      </c>
      <c r="C47" s="23" t="inlineStr">
        <is>
          <t>—</t>
        </is>
      </c>
      <c r="D47" s="23" t="inlineStr">
        <is>
          <t>760070</t>
        </is>
      </c>
      <c r="E47" s="23" t="inlineStr">
        <is>
          <t>SPARE POWER SWITCH RED LIGHT</t>
        </is>
      </c>
      <c r="F47" s="24" t="n">
        <v>4.65</v>
      </c>
      <c r="G47" s="23" t="n">
        <v>1</v>
      </c>
      <c r="H47" s="23" t="inlineStr">
        <is>
          <t>—</t>
        </is>
      </c>
    </row>
    <row r="48">
      <c r="A48" s="23" t="n">
        <v>44</v>
      </c>
      <c r="B48" s="23" t="inlineStr">
        <is>
          <t>810410</t>
        </is>
      </c>
      <c r="C48" s="23" t="inlineStr">
        <is>
          <t>750094</t>
        </is>
      </c>
      <c r="D48" s="23" t="inlineStr">
        <is>
          <t>760071</t>
        </is>
      </c>
      <c r="E48" s="23" t="inlineStr">
        <is>
          <t>SPARE PREASSEMBLED REMOTE SAFETY VALVE KIT 420MM</t>
        </is>
      </c>
      <c r="F48" s="24" t="n">
        <v>17.5</v>
      </c>
      <c r="G48" s="23" t="n">
        <v>1</v>
      </c>
      <c r="H48" s="23" t="inlineStr">
        <is>
          <t>—</t>
        </is>
      </c>
    </row>
    <row r="49">
      <c r="A49" s="23" t="n">
        <v>45</v>
      </c>
      <c r="B49" s="23" t="inlineStr">
        <is>
          <t>140099</t>
        </is>
      </c>
      <c r="C49" s="23" t="inlineStr">
        <is>
          <t>—</t>
        </is>
      </c>
      <c r="D49" s="23" t="inlineStr">
        <is>
          <t>760073</t>
        </is>
      </c>
      <c r="E49" s="23" t="inlineStr">
        <is>
          <t>SPARE N.10 PCS. 8MM-8MM BULKHEAD FITTING W/RING NUT</t>
        </is>
      </c>
      <c r="F49" s="24" t="n">
        <v>28</v>
      </c>
      <c r="G49" s="23" t="n">
        <v>10</v>
      </c>
      <c r="H49" s="6" t="inlineStr">
        <is>
          <t>BW-0424</t>
        </is>
      </c>
    </row>
    <row r="50">
      <c r="A50" s="23" t="n">
        <v>46</v>
      </c>
      <c r="B50" s="23" t="inlineStr">
        <is>
          <t>140092</t>
        </is>
      </c>
      <c r="C50" s="23" t="inlineStr">
        <is>
          <t>—</t>
        </is>
      </c>
      <c r="D50" s="23" t="inlineStr">
        <is>
          <t>760074</t>
        </is>
      </c>
      <c r="E50" s="23" t="inlineStr">
        <is>
          <t>SPARE FLOW REGULATOR 6MM</t>
        </is>
      </c>
      <c r="F50" s="24" t="n">
        <v>17</v>
      </c>
      <c r="G50" s="23" t="n">
        <v>1</v>
      </c>
      <c r="H50" s="6" t="inlineStr">
        <is>
          <t>BW-0193</t>
        </is>
      </c>
    </row>
    <row r="51">
      <c r="A51" s="23" t="n">
        <v>47</v>
      </c>
      <c r="B51" s="23" t="inlineStr">
        <is>
          <t>150523</t>
        </is>
      </c>
      <c r="C51" s="23" t="inlineStr">
        <is>
          <t>—</t>
        </is>
      </c>
      <c r="D51" s="23" t="inlineStr">
        <is>
          <t>760075</t>
        </is>
      </c>
      <c r="E51" s="23" t="inlineStr">
        <is>
          <t>SPARE SELFIZZ HOT WATER TANK CONTROL BOARD</t>
        </is>
      </c>
      <c r="F51" s="24" t="n">
        <v>23.5</v>
      </c>
      <c r="G51" s="23" t="n">
        <v>1</v>
      </c>
      <c r="H51" s="23" t="inlineStr">
        <is>
          <t>—</t>
        </is>
      </c>
    </row>
    <row r="52">
      <c r="A52" s="23" t="n">
        <v>48</v>
      </c>
      <c r="B52" s="23" t="inlineStr">
        <is>
          <t>150847</t>
        </is>
      </c>
      <c r="C52" s="23" t="inlineStr">
        <is>
          <t>—</t>
        </is>
      </c>
      <c r="D52" s="23" t="inlineStr">
        <is>
          <t>760076</t>
        </is>
      </c>
      <c r="E52" s="23" t="inlineStr">
        <is>
          <t>SPARE MAIN CONTROL BOARD AMBIENT, COLD, FIZZ AND HOT</t>
        </is>
      </c>
      <c r="F52" s="24" t="n">
        <v>40.9</v>
      </c>
      <c r="G52" s="23" t="n">
        <v>1</v>
      </c>
      <c r="H52" s="23" t="inlineStr">
        <is>
          <t>—</t>
        </is>
      </c>
    </row>
    <row r="53">
      <c r="A53" s="23" t="n">
        <v>49</v>
      </c>
      <c r="B53" s="23" t="inlineStr">
        <is>
          <t>150326</t>
        </is>
      </c>
      <c r="C53" s="23" t="inlineStr">
        <is>
          <t>—</t>
        </is>
      </c>
      <c r="D53" s="23" t="inlineStr">
        <is>
          <t>760077</t>
        </is>
      </c>
      <c r="E53" s="23" t="inlineStr">
        <is>
          <t>SPARE STAINLESS STEEL PUSH BUTTON BLUE LIGHT</t>
        </is>
      </c>
      <c r="F53" s="24" t="n">
        <v>13</v>
      </c>
      <c r="G53" s="23" t="n">
        <v>1</v>
      </c>
      <c r="H53" s="23" t="inlineStr">
        <is>
          <t>—</t>
        </is>
      </c>
    </row>
    <row r="54">
      <c r="A54" s="23" t="n">
        <v>50</v>
      </c>
      <c r="B54" s="23" t="inlineStr">
        <is>
          <t>810606</t>
        </is>
      </c>
      <c r="C54" s="23" t="inlineStr">
        <is>
          <t>—</t>
        </is>
      </c>
      <c r="D54" s="23" t="inlineStr">
        <is>
          <t>760078</t>
        </is>
      </c>
      <c r="E54" s="23" t="inlineStr">
        <is>
          <t>SPARE HOT WATER TANK 1L 230V W/PROBE</t>
        </is>
      </c>
      <c r="F54" s="24" t="n">
        <v>96.8</v>
      </c>
      <c r="G54" s="23" t="n">
        <v>1</v>
      </c>
      <c r="H54" s="23" t="inlineStr">
        <is>
          <t>—</t>
        </is>
      </c>
    </row>
    <row r="55">
      <c r="A55" s="23" t="n">
        <v>51</v>
      </c>
      <c r="B55" s="23" t="inlineStr">
        <is>
          <t>140079</t>
        </is>
      </c>
      <c r="C55" s="23" t="inlineStr">
        <is>
          <t>—</t>
        </is>
      </c>
      <c r="D55" s="23" t="inlineStr">
        <is>
          <t>760079</t>
        </is>
      </c>
      <c r="E55" s="23" t="inlineStr">
        <is>
          <t>SPARE N.4 PCS. RUBBER FOOT D32/H16MM W/HOLE</t>
        </is>
      </c>
      <c r="F55" s="24" t="n">
        <v>4.9</v>
      </c>
      <c r="G55" s="23" t="n">
        <v>4</v>
      </c>
      <c r="H55" s="23" t="inlineStr">
        <is>
          <t>—</t>
        </is>
      </c>
    </row>
    <row r="56">
      <c r="A56" s="23" t="n">
        <v>52</v>
      </c>
      <c r="B56" s="23" t="inlineStr">
        <is>
          <t>150094</t>
        </is>
      </c>
      <c r="C56" s="23" t="inlineStr">
        <is>
          <t>—</t>
        </is>
      </c>
      <c r="D56" s="23" t="inlineStr">
        <is>
          <t>760080</t>
        </is>
      </c>
      <c r="E56" s="23" t="inlineStr">
        <is>
          <t>SPARE IEC SOCKET</t>
        </is>
      </c>
      <c r="F56" s="24" t="n">
        <v>1.65</v>
      </c>
      <c r="G56" s="23" t="n">
        <v>1</v>
      </c>
      <c r="H56" s="6" t="inlineStr">
        <is>
          <t>BW-0425</t>
        </is>
      </c>
    </row>
    <row r="57">
      <c r="A57" s="23" t="n">
        <v>53</v>
      </c>
      <c r="B57" s="23" t="inlineStr">
        <is>
          <t>130141</t>
        </is>
      </c>
      <c r="C57" s="23" t="inlineStr">
        <is>
          <t>—</t>
        </is>
      </c>
      <c r="D57" s="23" t="inlineStr">
        <is>
          <t>760081</t>
        </is>
      </c>
      <c r="E57" s="23" t="inlineStr">
        <is>
          <t>SPARE BLUSODA HOT STAINLESS STEEL SPOUT</t>
        </is>
      </c>
      <c r="F57" s="24" t="n">
        <v>13</v>
      </c>
      <c r="G57" s="23" t="n">
        <v>1</v>
      </c>
      <c r="H57" s="23" t="inlineStr">
        <is>
          <t>—</t>
        </is>
      </c>
    </row>
    <row r="58">
      <c r="A58" s="23" t="n">
        <v>54</v>
      </c>
      <c r="B58" s="23" t="inlineStr">
        <is>
          <t>140624</t>
        </is>
      </c>
      <c r="C58" s="23" t="inlineStr">
        <is>
          <t>—</t>
        </is>
      </c>
      <c r="D58" s="23" t="inlineStr">
        <is>
          <t>760082</t>
        </is>
      </c>
      <c r="E58" s="23" t="inlineStr">
        <is>
          <t>SPARE BIOREFRESH SPOUT</t>
        </is>
      </c>
      <c r="F58" s="24" t="n">
        <v>6.2</v>
      </c>
      <c r="G58" s="23" t="n">
        <v>1</v>
      </c>
      <c r="H58" s="23" t="inlineStr">
        <is>
          <t>—</t>
        </is>
      </c>
    </row>
    <row r="59">
      <c r="A59" s="23" t="n">
        <v>55</v>
      </c>
      <c r="B59" s="23" t="inlineStr">
        <is>
          <t>140366</t>
        </is>
      </c>
      <c r="C59" s="23" t="inlineStr">
        <is>
          <t>—</t>
        </is>
      </c>
      <c r="D59" s="23" t="inlineStr">
        <is>
          <t>760083</t>
        </is>
      </c>
      <c r="E59" s="23" t="inlineStr">
        <is>
          <t>SPARE BLUSODA PLASTIC DRIP TRAY DRAIN FITTING</t>
        </is>
      </c>
      <c r="F59" s="24" t="n">
        <v>1.75</v>
      </c>
      <c r="G59" s="23" t="n">
        <v>1</v>
      </c>
      <c r="H59" s="6" t="inlineStr">
        <is>
          <t>BW-0372</t>
        </is>
      </c>
    </row>
    <row r="60">
      <c r="A60" s="23" t="n">
        <v>56</v>
      </c>
      <c r="B60" s="23" t="inlineStr">
        <is>
          <t>160343</t>
        </is>
      </c>
      <c r="C60" s="23" t="inlineStr">
        <is>
          <t>—</t>
        </is>
      </c>
      <c r="D60" s="23" t="inlineStr">
        <is>
          <t>760084</t>
        </is>
      </c>
      <c r="E60" s="23" t="inlineStr">
        <is>
          <t>SPARE BLUSODA HOT FIZZ LABEL</t>
        </is>
      </c>
      <c r="F60" s="24" t="n">
        <v>4.2</v>
      </c>
      <c r="G60" s="23" t="n">
        <v>1</v>
      </c>
      <c r="H60" s="23" t="inlineStr">
        <is>
          <t>—</t>
        </is>
      </c>
    </row>
    <row r="61">
      <c r="A61" s="23" t="n">
        <v>57</v>
      </c>
      <c r="B61" s="23" t="inlineStr">
        <is>
          <t>150552</t>
        </is>
      </c>
      <c r="C61" s="23" t="inlineStr">
        <is>
          <t>750377</t>
        </is>
      </c>
      <c r="D61" s="23" t="inlineStr">
        <is>
          <t>760085</t>
        </is>
      </c>
      <c r="E61" s="23" t="inlineStr">
        <is>
          <t>SPARE BLUSODA SOLENOID VALVE 3IN 6MM - 1OUT 8MM W/BRACKET</t>
        </is>
      </c>
      <c r="F61" s="24" t="n">
        <v>43</v>
      </c>
      <c r="G61" s="23" t="n">
        <v>1</v>
      </c>
      <c r="H61" s="23" t="inlineStr">
        <is>
          <t>—</t>
        </is>
      </c>
    </row>
    <row r="62">
      <c r="A62" s="23" t="n">
        <v>58</v>
      </c>
      <c r="B62" s="23" t="inlineStr">
        <is>
          <t>150356</t>
        </is>
      </c>
      <c r="C62" s="23" t="inlineStr">
        <is>
          <t>—</t>
        </is>
      </c>
      <c r="D62" s="23" t="inlineStr">
        <is>
          <t>760086</t>
        </is>
      </c>
      <c r="E62" s="23" t="inlineStr">
        <is>
          <t>SPARE SOLENOID VALVE 1IN 8MM - 1OUT 8MM 24VAC</t>
        </is>
      </c>
      <c r="F62" s="24" t="n">
        <v>20.3</v>
      </c>
      <c r="G62" s="23" t="n">
        <v>1</v>
      </c>
      <c r="H62" s="6" t="inlineStr">
        <is>
          <t>BW-0381</t>
        </is>
      </c>
    </row>
    <row r="63">
      <c r="A63" s="23" t="n">
        <v>59</v>
      </c>
      <c r="B63" s="23" t="inlineStr">
        <is>
          <t>150347</t>
        </is>
      </c>
      <c r="C63" s="23" t="inlineStr">
        <is>
          <t>—</t>
        </is>
      </c>
      <c r="D63" s="23" t="inlineStr">
        <is>
          <t>760087</t>
        </is>
      </c>
      <c r="E63" s="23" t="inlineStr">
        <is>
          <t>SPARE BLUSODA / FM WALL / BLUTOWER QUARTZ UVC OUT 4W 64x60MM</t>
        </is>
      </c>
      <c r="F63" s="24" t="n">
        <v>49.5</v>
      </c>
      <c r="G63" s="23" t="n">
        <v>1</v>
      </c>
      <c r="H63" s="23" t="inlineStr">
        <is>
          <t>—</t>
        </is>
      </c>
    </row>
    <row r="64">
      <c r="A64" s="23" t="n">
        <v>60</v>
      </c>
      <c r="B64" s="23" t="inlineStr">
        <is>
          <t>120082</t>
        </is>
      </c>
      <c r="C64" s="23" t="inlineStr">
        <is>
          <t>—</t>
        </is>
      </c>
      <c r="D64" s="23" t="inlineStr">
        <is>
          <t>760088</t>
        </is>
      </c>
      <c r="E64" s="23" t="inlineStr">
        <is>
          <t>SPARE FONTEMAGNA STAINLESS STEEL OUTLET TUBE</t>
        </is>
      </c>
      <c r="F64" s="24" t="n">
        <v>3</v>
      </c>
      <c r="G64" s="23" t="n">
        <v>1</v>
      </c>
      <c r="H64" s="23" t="inlineStr">
        <is>
          <t>—</t>
        </is>
      </c>
    </row>
    <row r="65">
      <c r="A65" s="23" t="n">
        <v>61</v>
      </c>
      <c r="B65" s="23" t="inlineStr">
        <is>
          <t>140012</t>
        </is>
      </c>
      <c r="C65" s="23" t="inlineStr">
        <is>
          <t>—</t>
        </is>
      </c>
      <c r="D65" s="23" t="inlineStr">
        <is>
          <t>760089</t>
        </is>
      </c>
      <c r="E65" s="23" t="inlineStr">
        <is>
          <t>SPARE 10M BLACK PE TUBE D8MM</t>
        </is>
      </c>
      <c r="F65" s="24" t="n">
        <v>14.5</v>
      </c>
      <c r="G65" s="23" t="n">
        <v>1</v>
      </c>
      <c r="H65" s="23" t="inlineStr">
        <is>
          <t>—</t>
        </is>
      </c>
    </row>
    <row r="66">
      <c r="A66" s="23" t="n">
        <v>62</v>
      </c>
      <c r="B66" s="23" t="inlineStr">
        <is>
          <t>140042</t>
        </is>
      </c>
      <c r="C66" s="23" t="inlineStr">
        <is>
          <t>—</t>
        </is>
      </c>
      <c r="D66" s="23" t="inlineStr">
        <is>
          <t>760090</t>
        </is>
      </c>
      <c r="E66" s="23" t="inlineStr">
        <is>
          <t>SPARE 10M CO2 PE TUBE D5/16"</t>
        </is>
      </c>
      <c r="F66" s="24" t="n">
        <v>14.5</v>
      </c>
      <c r="G66" s="23" t="n">
        <v>1</v>
      </c>
      <c r="H66" s="23" t="inlineStr">
        <is>
          <t>—</t>
        </is>
      </c>
    </row>
    <row r="67">
      <c r="A67" s="23" t="n">
        <v>63</v>
      </c>
      <c r="B67" s="23" t="inlineStr">
        <is>
          <t>120107</t>
        </is>
      </c>
      <c r="C67" s="23" t="inlineStr">
        <is>
          <t>—</t>
        </is>
      </c>
      <c r="D67" s="23" t="inlineStr">
        <is>
          <t>760091</t>
        </is>
      </c>
      <c r="E67" s="23" t="inlineStr">
        <is>
          <t>SPARE FONTEMAGNA / BLUSODA NANOTECH STAINLESS STEEL OUTLET TUBE</t>
        </is>
      </c>
      <c r="F67" s="24" t="n">
        <v>14.4</v>
      </c>
      <c r="G67" s="23" t="n">
        <v>1</v>
      </c>
      <c r="H67" s="23" t="inlineStr">
        <is>
          <t>—</t>
        </is>
      </c>
    </row>
    <row r="68">
      <c r="A68" s="23" t="n">
        <v>64</v>
      </c>
      <c r="B68" s="23" t="inlineStr">
        <is>
          <t>140264</t>
        </is>
      </c>
      <c r="C68" s="23" t="inlineStr">
        <is>
          <t>—</t>
        </is>
      </c>
      <c r="D68" s="23" t="inlineStr">
        <is>
          <t>760092</t>
        </is>
      </c>
      <c r="E68" s="23" t="inlineStr">
        <is>
          <t>SPARE 5M PTFE TUBE HOT D8MM</t>
        </is>
      </c>
      <c r="F68" s="24" t="n">
        <v>46</v>
      </c>
      <c r="G68" s="23" t="n">
        <v>1</v>
      </c>
      <c r="H68" s="23" t="inlineStr">
        <is>
          <t>—</t>
        </is>
      </c>
    </row>
    <row r="69">
      <c r="A69" s="23" t="n">
        <v>65</v>
      </c>
      <c r="B69" s="23" t="inlineStr">
        <is>
          <t>140522</t>
        </is>
      </c>
      <c r="C69" s="23" t="inlineStr">
        <is>
          <t>—</t>
        </is>
      </c>
      <c r="D69" s="23" t="inlineStr">
        <is>
          <t>760093</t>
        </is>
      </c>
      <c r="E69" s="23" t="inlineStr">
        <is>
          <t>SPARE 5M FOOD-GRADE PLATINUM-CURED SILICONE TUBE D8MM</t>
        </is>
      </c>
      <c r="F69" s="24" t="n">
        <v>5.8</v>
      </c>
      <c r="G69" s="23" t="n">
        <v>1</v>
      </c>
      <c r="H69" s="23" t="inlineStr">
        <is>
          <t>—</t>
        </is>
      </c>
    </row>
    <row r="70">
      <c r="A70" s="23" t="n">
        <v>66</v>
      </c>
      <c r="B70" s="23" t="inlineStr">
        <is>
          <t>140412</t>
        </is>
      </c>
      <c r="C70" s="23" t="inlineStr">
        <is>
          <t>—</t>
        </is>
      </c>
      <c r="D70" s="23" t="inlineStr">
        <is>
          <t>760094</t>
        </is>
      </c>
      <c r="E70" s="23" t="inlineStr">
        <is>
          <t>SPARE 10M CLEAR PE TUBE D6MM</t>
        </is>
      </c>
      <c r="F70" s="24" t="n">
        <v>18.5</v>
      </c>
      <c r="G70" s="23" t="n">
        <v>1</v>
      </c>
      <c r="H70" s="23" t="inlineStr">
        <is>
          <t>—</t>
        </is>
      </c>
    </row>
    <row r="71">
      <c r="A71" s="23" t="n">
        <v>67</v>
      </c>
      <c r="B71" s="23" t="inlineStr">
        <is>
          <t>140103</t>
        </is>
      </c>
      <c r="C71" s="23" t="inlineStr">
        <is>
          <t>—</t>
        </is>
      </c>
      <c r="D71" s="23" t="inlineStr">
        <is>
          <t>760095</t>
        </is>
      </c>
      <c r="E71" s="23" t="inlineStr">
        <is>
          <t>SPARE N.10 PCS. REDUCING ELBOW FITTING 8MM-6MM HUL0806B</t>
        </is>
      </c>
      <c r="F71" s="24" t="n">
        <v>23.5</v>
      </c>
      <c r="G71" s="23" t="n">
        <v>10</v>
      </c>
      <c r="H71" s="23" t="inlineStr">
        <is>
          <t>—</t>
        </is>
      </c>
    </row>
    <row r="72">
      <c r="A72" s="23" t="n">
        <v>68</v>
      </c>
      <c r="B72" s="23" t="inlineStr">
        <is>
          <t>140105</t>
        </is>
      </c>
      <c r="C72" s="23" t="inlineStr">
        <is>
          <t>—</t>
        </is>
      </c>
      <c r="D72" s="23" t="inlineStr">
        <is>
          <t>760096</t>
        </is>
      </c>
      <c r="E72" s="23" t="inlineStr">
        <is>
          <t>SPARE N.10 PCS. STEM REDUCER FITTING D8MM-6MM PM060806E</t>
        </is>
      </c>
      <c r="F72" s="24" t="n">
        <v>15</v>
      </c>
      <c r="G72" s="23" t="n">
        <v>10</v>
      </c>
      <c r="H72" s="23" t="inlineStr">
        <is>
          <t>—</t>
        </is>
      </c>
    </row>
    <row r="73">
      <c r="A73" s="23" t="n">
        <v>69</v>
      </c>
      <c r="B73" s="23" t="inlineStr">
        <is>
          <t>140101</t>
        </is>
      </c>
      <c r="C73" s="23" t="inlineStr">
        <is>
          <t>—</t>
        </is>
      </c>
      <c r="D73" s="23" t="inlineStr">
        <is>
          <t>760097</t>
        </is>
      </c>
      <c r="E73" s="23" t="inlineStr">
        <is>
          <t>SPARE N.10 PCS. STEM ELBOW FITTING D8MM-8MM PM220808E</t>
        </is>
      </c>
      <c r="F73" s="24" t="n">
        <v>21</v>
      </c>
      <c r="G73" s="23" t="n">
        <v>10</v>
      </c>
      <c r="H73" s="23" t="inlineStr">
        <is>
          <t>—</t>
        </is>
      </c>
    </row>
    <row r="74">
      <c r="A74" s="23" t="n">
        <v>70</v>
      </c>
      <c r="B74" s="23" t="inlineStr">
        <is>
          <t>140255</t>
        </is>
      </c>
      <c r="C74" s="23" t="inlineStr">
        <is>
          <t>—</t>
        </is>
      </c>
      <c r="D74" s="23" t="inlineStr">
        <is>
          <t>760098</t>
        </is>
      </c>
      <c r="E74" s="23" t="inlineStr">
        <is>
          <t>SPARE N.10 PCS. STEM ELBOW FITTING D6MM-8MM HLJ0608B</t>
        </is>
      </c>
      <c r="F74" s="24" t="n">
        <v>23.5</v>
      </c>
      <c r="G74" s="23" t="n">
        <v>10</v>
      </c>
      <c r="H74" s="23" t="inlineStr">
        <is>
          <t>—</t>
        </is>
      </c>
    </row>
    <row r="75">
      <c r="A75" s="23" t="n">
        <v>71</v>
      </c>
      <c r="B75" s="23" t="inlineStr">
        <is>
          <t>140027</t>
        </is>
      </c>
      <c r="C75" s="23" t="inlineStr">
        <is>
          <t>—</t>
        </is>
      </c>
      <c r="D75" s="23" t="inlineStr">
        <is>
          <t>760099</t>
        </is>
      </c>
      <c r="E75" s="23" t="inlineStr">
        <is>
          <t>SPARE N.10 PCS. ELBOW FITTING 8MM-8MM HUL0808B</t>
        </is>
      </c>
      <c r="F75" s="24" t="n">
        <v>23</v>
      </c>
      <c r="G75" s="23" t="n">
        <v>10</v>
      </c>
      <c r="H75" s="23" t="inlineStr">
        <is>
          <t>—</t>
        </is>
      </c>
    </row>
    <row r="76">
      <c r="A76" s="23" t="n">
        <v>72</v>
      </c>
      <c r="B76" s="23" t="inlineStr">
        <is>
          <t>140883</t>
        </is>
      </c>
      <c r="C76" s="23" t="inlineStr">
        <is>
          <t>—</t>
        </is>
      </c>
      <c r="D76" s="23" t="inlineStr">
        <is>
          <t>760100</t>
        </is>
      </c>
      <c r="E76" s="23" t="inlineStr">
        <is>
          <t>SPARE N.10 PCS. STEM ELBOW FITTING D6MM-6MM HLJ0606B</t>
        </is>
      </c>
      <c r="F76" s="24" t="n">
        <v>19</v>
      </c>
      <c r="G76" s="23" t="n">
        <v>10</v>
      </c>
      <c r="H76" s="23" t="inlineStr">
        <is>
          <t>—</t>
        </is>
      </c>
    </row>
    <row r="77">
      <c r="A77" s="23" t="n">
        <v>73</v>
      </c>
      <c r="B77" s="23" t="inlineStr">
        <is>
          <t>160050</t>
        </is>
      </c>
      <c r="C77" s="23" t="inlineStr">
        <is>
          <t>—</t>
        </is>
      </c>
      <c r="D77" s="23" t="inlineStr">
        <is>
          <t>760101</t>
        </is>
      </c>
      <c r="E77" s="23" t="inlineStr">
        <is>
          <t>SPARE WAVE LIGHT FIZZ LABEL</t>
        </is>
      </c>
      <c r="F77" s="24" t="n">
        <v>3.4</v>
      </c>
      <c r="G77" s="23" t="n">
        <v>1</v>
      </c>
      <c r="H77" s="23" t="inlineStr">
        <is>
          <t>—</t>
        </is>
      </c>
    </row>
    <row r="78">
      <c r="A78" s="23" t="n">
        <v>74</v>
      </c>
      <c r="B78" s="23" t="inlineStr">
        <is>
          <t>150662</t>
        </is>
      </c>
      <c r="C78" s="23" t="inlineStr">
        <is>
          <t>—</t>
        </is>
      </c>
      <c r="D78" s="23" t="inlineStr">
        <is>
          <t>760102</t>
        </is>
      </c>
      <c r="E78" s="23" t="inlineStr">
        <is>
          <t>SPARE SOLENOID VALVE 3IN 1/4" - 1OUT 8MM 24VAC</t>
        </is>
      </c>
      <c r="F78" s="24" t="n">
        <v>33.7</v>
      </c>
      <c r="G78" s="23" t="n">
        <v>1</v>
      </c>
      <c r="H78" s="23" t="inlineStr">
        <is>
          <t>—</t>
        </is>
      </c>
    </row>
    <row r="79">
      <c r="A79" s="23" t="n">
        <v>75</v>
      </c>
      <c r="B79" s="23" t="inlineStr">
        <is>
          <t>140186</t>
        </is>
      </c>
      <c r="C79" s="23" t="inlineStr">
        <is>
          <t>—</t>
        </is>
      </c>
      <c r="D79" s="23" t="inlineStr">
        <is>
          <t>760103</t>
        </is>
      </c>
      <c r="E79" s="23" t="inlineStr">
        <is>
          <t>SPARE 10M BLACK PE TUBE D1/4"</t>
        </is>
      </c>
      <c r="F79" s="24" t="n">
        <v>10.5</v>
      </c>
      <c r="G79" s="23" t="n">
        <v>1</v>
      </c>
      <c r="H79" s="23" t="inlineStr">
        <is>
          <t>—</t>
        </is>
      </c>
    </row>
    <row r="80">
      <c r="A80" s="23" t="n">
        <v>76</v>
      </c>
      <c r="B80" s="23" t="inlineStr">
        <is>
          <t>140039</t>
        </is>
      </c>
      <c r="C80" s="23" t="inlineStr">
        <is>
          <t>—</t>
        </is>
      </c>
      <c r="D80" s="23" t="inlineStr">
        <is>
          <t>760104</t>
        </is>
      </c>
      <c r="E80" s="23" t="inlineStr">
        <is>
          <t>SPARE N.10 PCS. REDUCING ELBOW FITTING 5/16"-1/4" PI211008S</t>
        </is>
      </c>
      <c r="F80" s="24" t="n">
        <v>29</v>
      </c>
      <c r="G80" s="23" t="n">
        <v>10</v>
      </c>
      <c r="H80" s="23" t="inlineStr">
        <is>
          <t>—</t>
        </is>
      </c>
    </row>
    <row r="81">
      <c r="A81" s="23" t="n">
        <v>77</v>
      </c>
      <c r="B81" s="23" t="inlineStr">
        <is>
          <t>140369</t>
        </is>
      </c>
      <c r="C81" s="23" t="inlineStr">
        <is>
          <t>—</t>
        </is>
      </c>
      <c r="D81" s="23" t="inlineStr">
        <is>
          <t>760105</t>
        </is>
      </c>
      <c r="E81" s="23" t="inlineStr">
        <is>
          <t>SPARE N.10 PCS. STEM REDUCER FITTING 5/16"-1/4" PI061008S</t>
        </is>
      </c>
      <c r="F81" s="24" t="n">
        <v>12</v>
      </c>
      <c r="G81" s="23" t="n">
        <v>10</v>
      </c>
      <c r="H81" s="23" t="inlineStr">
        <is>
          <t>—</t>
        </is>
      </c>
    </row>
    <row r="82">
      <c r="A82" s="23" t="n">
        <v>78</v>
      </c>
      <c r="B82" s="23" t="inlineStr">
        <is>
          <t>810272</t>
        </is>
      </c>
      <c r="C82" s="23" t="inlineStr">
        <is>
          <t>—</t>
        </is>
      </c>
      <c r="D82" s="23" t="inlineStr">
        <is>
          <t>760106</t>
        </is>
      </c>
      <c r="E82" s="23" t="inlineStr">
        <is>
          <t>SPARE PICCOLA BLACK LEFT PANEL PAINTED</t>
        </is>
      </c>
      <c r="F82" s="24" t="n">
        <v>43.9</v>
      </c>
      <c r="G82" s="23" t="n">
        <v>1</v>
      </c>
      <c r="H82" s="23" t="inlineStr">
        <is>
          <t>—</t>
        </is>
      </c>
    </row>
    <row r="83">
      <c r="A83" s="23" t="n">
        <v>79</v>
      </c>
      <c r="B83" s="23" t="inlineStr">
        <is>
          <t>810266</t>
        </is>
      </c>
      <c r="C83" s="23" t="inlineStr">
        <is>
          <t>—</t>
        </is>
      </c>
      <c r="D83" s="23" t="inlineStr">
        <is>
          <t>760107</t>
        </is>
      </c>
      <c r="E83" s="23" t="inlineStr">
        <is>
          <t>SPARE PICCOLA TOP COVER</t>
        </is>
      </c>
      <c r="F83" s="24" t="n">
        <v>26.15</v>
      </c>
      <c r="G83" s="23" t="n">
        <v>1</v>
      </c>
      <c r="H83" s="23" t="inlineStr">
        <is>
          <t>—</t>
        </is>
      </c>
    </row>
    <row r="84">
      <c r="A84" s="23" t="n">
        <v>80</v>
      </c>
      <c r="B84" s="23" t="inlineStr">
        <is>
          <t>140296</t>
        </is>
      </c>
      <c r="C84" s="23" t="inlineStr">
        <is>
          <t>—</t>
        </is>
      </c>
      <c r="D84" s="23" t="inlineStr">
        <is>
          <t>760108</t>
        </is>
      </c>
      <c r="E84" s="23" t="inlineStr">
        <is>
          <t>SPARE N.10 PCS. 1/4"-1/4" BULKHEAD FITTING W/RING NUT</t>
        </is>
      </c>
      <c r="F84" s="24" t="n">
        <v>33</v>
      </c>
      <c r="G84" s="23" t="n">
        <v>10</v>
      </c>
      <c r="H84" s="6" t="inlineStr">
        <is>
          <t>BW-0432</t>
        </is>
      </c>
    </row>
    <row r="85">
      <c r="A85" s="23" t="n">
        <v>81</v>
      </c>
      <c r="B85" s="23" t="inlineStr">
        <is>
          <t>150520A</t>
        </is>
      </c>
      <c r="C85" s="23" t="inlineStr">
        <is>
          <t>—</t>
        </is>
      </c>
      <c r="D85" s="23" t="inlineStr">
        <is>
          <t>760109</t>
        </is>
      </c>
      <c r="E85" s="23" t="inlineStr">
        <is>
          <t>SPARE PICCOLA 15 FIZZ MAIN CONTROL BOARD</t>
        </is>
      </c>
      <c r="F85" s="24" t="n">
        <v>40.9</v>
      </c>
      <c r="G85" s="23" t="n">
        <v>1</v>
      </c>
      <c r="H85" s="23" t="inlineStr">
        <is>
          <t>—</t>
        </is>
      </c>
    </row>
    <row r="86">
      <c r="A86" s="23" t="n">
        <v>82</v>
      </c>
      <c r="B86" s="23" t="inlineStr">
        <is>
          <t>810271</t>
        </is>
      </c>
      <c r="C86" s="23" t="inlineStr">
        <is>
          <t>—</t>
        </is>
      </c>
      <c r="D86" s="23" t="inlineStr">
        <is>
          <t>760110</t>
        </is>
      </c>
      <c r="E86" s="23" t="inlineStr">
        <is>
          <t>SPARE PICCOLA BLACK PAINTED RIGHT PANEL</t>
        </is>
      </c>
      <c r="F86" s="24" t="n">
        <v>43.9</v>
      </c>
      <c r="G86" s="23" t="n">
        <v>1</v>
      </c>
      <c r="H86" s="23" t="inlineStr">
        <is>
          <t>—</t>
        </is>
      </c>
    </row>
    <row r="87">
      <c r="A87" s="23" t="n">
        <v>83</v>
      </c>
      <c r="B87" s="23" t="inlineStr">
        <is>
          <t>120165</t>
        </is>
      </c>
      <c r="C87" s="23" t="inlineStr">
        <is>
          <t>—</t>
        </is>
      </c>
      <c r="D87" s="23" t="inlineStr">
        <is>
          <t>760111</t>
        </is>
      </c>
      <c r="E87" s="23" t="inlineStr">
        <is>
          <t>SPARE SELFIZZ / BIOREFRESH STAINLESS STEEL OUTLET TUBE</t>
        </is>
      </c>
      <c r="F87" s="24" t="n">
        <v>3</v>
      </c>
      <c r="G87" s="23" t="n">
        <v>1</v>
      </c>
      <c r="H87" s="23" t="inlineStr">
        <is>
          <t>—</t>
        </is>
      </c>
    </row>
    <row r="88">
      <c r="A88" s="23" t="n">
        <v>84</v>
      </c>
      <c r="B88" s="23" t="inlineStr">
        <is>
          <t>140638</t>
        </is>
      </c>
      <c r="C88" s="23" t="inlineStr">
        <is>
          <t>—</t>
        </is>
      </c>
      <c r="D88" s="23" t="inlineStr">
        <is>
          <t>760112</t>
        </is>
      </c>
      <c r="E88" s="23" t="inlineStr">
        <is>
          <t>SPARE BIOREFRESH/SELFIZZ SNAP-IN SPOUT HOLDER</t>
        </is>
      </c>
      <c r="F88" s="24" t="n">
        <v>3.7</v>
      </c>
      <c r="G88" s="23" t="n">
        <v>1</v>
      </c>
      <c r="H88" s="23" t="inlineStr">
        <is>
          <t>—</t>
        </is>
      </c>
    </row>
    <row r="89">
      <c r="A89" s="23" t="n">
        <v>85</v>
      </c>
      <c r="B89" s="23" t="inlineStr">
        <is>
          <t>150487</t>
        </is>
      </c>
      <c r="C89" s="23" t="inlineStr">
        <is>
          <t>—</t>
        </is>
      </c>
      <c r="D89" s="23" t="inlineStr">
        <is>
          <t>760113</t>
        </is>
      </c>
      <c r="E89" s="23" t="inlineStr">
        <is>
          <t>SPARE SOLENOID VALVE 1IN 1/4" - 1OUT 1/4" 24VAC</t>
        </is>
      </c>
      <c r="F89" s="24" t="n">
        <v>19.15</v>
      </c>
      <c r="G89" s="23" t="n">
        <v>1</v>
      </c>
      <c r="H89" s="23" t="inlineStr">
        <is>
          <t>—</t>
        </is>
      </c>
    </row>
    <row r="90">
      <c r="A90" s="23" t="n">
        <v>86</v>
      </c>
      <c r="B90" s="23" t="inlineStr">
        <is>
          <t>140329</t>
        </is>
      </c>
      <c r="C90" s="23" t="inlineStr">
        <is>
          <t>—</t>
        </is>
      </c>
      <c r="D90" s="23" t="inlineStr">
        <is>
          <t>760114</t>
        </is>
      </c>
      <c r="E90" s="23" t="inlineStr">
        <is>
          <t>SPARE N.10 PCS. CHECK VALVE D1/4"</t>
        </is>
      </c>
      <c r="F90" s="24" t="n">
        <v>101</v>
      </c>
      <c r="G90" s="23" t="n">
        <v>10</v>
      </c>
      <c r="H90" s="23" t="inlineStr">
        <is>
          <t>—</t>
        </is>
      </c>
    </row>
    <row r="91">
      <c r="A91" s="23" t="n">
        <v>87</v>
      </c>
      <c r="B91" s="23" t="inlineStr">
        <is>
          <t>140300</t>
        </is>
      </c>
      <c r="C91" s="23" t="inlineStr">
        <is>
          <t>—</t>
        </is>
      </c>
      <c r="D91" s="23" t="inlineStr">
        <is>
          <t>760115</t>
        </is>
      </c>
      <c r="E91" s="23" t="inlineStr">
        <is>
          <t>SPARE N.10 PCS. EQUAL TEE FITTING 1/4" PI0208S</t>
        </is>
      </c>
      <c r="F91" s="24" t="n">
        <v>12</v>
      </c>
      <c r="G91" s="23" t="n">
        <v>10</v>
      </c>
      <c r="H91" s="23" t="inlineStr">
        <is>
          <t>—</t>
        </is>
      </c>
    </row>
    <row r="92">
      <c r="A92" s="23" t="n">
        <v>88</v>
      </c>
      <c r="B92" s="23" t="inlineStr">
        <is>
          <t>140536</t>
        </is>
      </c>
      <c r="C92" s="23" t="inlineStr">
        <is>
          <t>—</t>
        </is>
      </c>
      <c r="D92" s="23" t="inlineStr">
        <is>
          <t>760116</t>
        </is>
      </c>
      <c r="E92" s="23" t="inlineStr">
        <is>
          <t>SPARE N.10 PCS. TWO WAY DIVIDER FITTING 1/4" HUY1/4-1/4G</t>
        </is>
      </c>
      <c r="F92" s="24" t="n">
        <v>14.8</v>
      </c>
      <c r="G92" s="23" t="n">
        <v>10</v>
      </c>
      <c r="H92" s="23" t="inlineStr">
        <is>
          <t>—</t>
        </is>
      </c>
    </row>
    <row r="93">
      <c r="A93" s="23" t="n">
        <v>89</v>
      </c>
      <c r="B93" s="23" t="inlineStr">
        <is>
          <t>140646</t>
        </is>
      </c>
      <c r="C93" s="23" t="inlineStr">
        <is>
          <t>—</t>
        </is>
      </c>
      <c r="D93" s="23" t="inlineStr">
        <is>
          <t>760117</t>
        </is>
      </c>
      <c r="E93" s="23" t="inlineStr">
        <is>
          <t>SPARE N.10 PCS. STEM ELBOW FITTING 1/4"-5/16" HLJ1/4-5/16G</t>
        </is>
      </c>
      <c r="F93" s="24" t="n">
        <v>17.5</v>
      </c>
      <c r="G93" s="23" t="n">
        <v>10</v>
      </c>
      <c r="H93" s="23" t="inlineStr">
        <is>
          <t>—</t>
        </is>
      </c>
    </row>
    <row r="94">
      <c r="A94" s="23" t="n">
        <v>90</v>
      </c>
      <c r="B94" s="23" t="inlineStr">
        <is>
          <t>150494</t>
        </is>
      </c>
      <c r="C94" s="23" t="inlineStr">
        <is>
          <t>750185</t>
        </is>
      </c>
      <c r="D94" s="23" t="inlineStr">
        <is>
          <t>760118</t>
        </is>
      </c>
      <c r="E94" s="23" t="inlineStr">
        <is>
          <t>SPARE PICCOLA 15 FIZZ ELECTRIC BOARD KIT W/O CONTROL BOARD</t>
        </is>
      </c>
      <c r="F94" s="24" t="n">
        <v>15.9</v>
      </c>
      <c r="G94" s="23" t="n">
        <v>1</v>
      </c>
      <c r="H94" s="23" t="inlineStr">
        <is>
          <t>—</t>
        </is>
      </c>
    </row>
    <row r="95">
      <c r="A95" s="23" t="n">
        <v>91</v>
      </c>
      <c r="B95" s="23" t="inlineStr">
        <is>
          <t>120105</t>
        </is>
      </c>
      <c r="C95" s="23" t="inlineStr">
        <is>
          <t>—</t>
        </is>
      </c>
      <c r="D95" s="23" t="inlineStr">
        <is>
          <t>760119</t>
        </is>
      </c>
      <c r="E95" s="23" t="inlineStr">
        <is>
          <t>SPARE FAN 119x119x38 230V CITY</t>
        </is>
      </c>
      <c r="F95" s="24" t="n">
        <v>22.45</v>
      </c>
      <c r="G95" s="23" t="n">
        <v>1</v>
      </c>
      <c r="H95" s="23" t="inlineStr">
        <is>
          <t>—</t>
        </is>
      </c>
    </row>
    <row r="96">
      <c r="A96" s="23" t="n">
        <v>92</v>
      </c>
      <c r="B96" s="23" t="inlineStr">
        <is>
          <t>140118</t>
        </is>
      </c>
      <c r="C96" s="23" t="inlineStr">
        <is>
          <t>—</t>
        </is>
      </c>
      <c r="D96" s="23" t="inlineStr">
        <is>
          <t>760120</t>
        </is>
      </c>
      <c r="E96" s="23" t="inlineStr">
        <is>
          <t>SPARE N.4 PCS. HARD PVC FOOT D30/H25MM W/HOLE</t>
        </is>
      </c>
      <c r="F96" s="24" t="n">
        <v>5</v>
      </c>
      <c r="G96" s="23" t="n">
        <v>4</v>
      </c>
      <c r="H96" s="6" t="inlineStr">
        <is>
          <t>BW-0421</t>
        </is>
      </c>
    </row>
    <row r="97">
      <c r="A97" s="23" t="n">
        <v>93</v>
      </c>
      <c r="B97" s="23" t="inlineStr">
        <is>
          <t>810267</t>
        </is>
      </c>
      <c r="C97" s="23" t="inlineStr">
        <is>
          <t>750208</t>
        </is>
      </c>
      <c r="D97" s="23" t="inlineStr">
        <is>
          <t>760121</t>
        </is>
      </c>
      <c r="E97" s="23" t="inlineStr">
        <is>
          <t>SPARE PICCOLA DRIP TRAY PAINTED W/GRILL</t>
        </is>
      </c>
      <c r="F97" s="24" t="n">
        <v>16.15</v>
      </c>
      <c r="G97" s="23" t="n">
        <v>1</v>
      </c>
      <c r="H97" s="23" t="inlineStr">
        <is>
          <t>—</t>
        </is>
      </c>
    </row>
    <row r="98">
      <c r="A98" s="23" t="n">
        <v>94</v>
      </c>
      <c r="B98" s="23" t="inlineStr">
        <is>
          <t>810265</t>
        </is>
      </c>
      <c r="C98" s="23" t="inlineStr">
        <is>
          <t>—</t>
        </is>
      </c>
      <c r="D98" s="23" t="inlineStr">
        <is>
          <t>760123</t>
        </is>
      </c>
      <c r="E98" s="23" t="inlineStr">
        <is>
          <t>SPARE PICCOLA FRONT PANEL</t>
        </is>
      </c>
      <c r="F98" s="24" t="n">
        <v>37.1</v>
      </c>
      <c r="G98" s="23" t="n">
        <v>1</v>
      </c>
      <c r="H98" s="23" t="inlineStr">
        <is>
          <t>—</t>
        </is>
      </c>
    </row>
    <row r="99">
      <c r="A99" s="23" t="n">
        <v>95</v>
      </c>
      <c r="B99" s="23" t="inlineStr">
        <is>
          <t>160606</t>
        </is>
      </c>
      <c r="C99" s="23" t="inlineStr">
        <is>
          <t>—</t>
        </is>
      </c>
      <c r="D99" s="23" t="inlineStr">
        <is>
          <t>760124</t>
        </is>
      </c>
      <c r="E99" s="23" t="inlineStr">
        <is>
          <t>SPARE PICCOLA 15 FIZZ BLACK LEXAN LABEL</t>
        </is>
      </c>
      <c r="F99" s="24" t="n">
        <v>5.15</v>
      </c>
      <c r="G99" s="23" t="n">
        <v>1</v>
      </c>
      <c r="H99" s="23" t="inlineStr">
        <is>
          <t>—</t>
        </is>
      </c>
    </row>
    <row r="100">
      <c r="A100" s="23" t="n">
        <v>96</v>
      </c>
      <c r="B100" s="23" t="inlineStr">
        <is>
          <t>810270</t>
        </is>
      </c>
      <c r="C100" s="23" t="inlineStr">
        <is>
          <t>—</t>
        </is>
      </c>
      <c r="D100" s="23" t="inlineStr">
        <is>
          <t>760125</t>
        </is>
      </c>
      <c r="E100" s="23" t="inlineStr">
        <is>
          <t>SPARE PICCOLA KEYPAD SUPPORT</t>
        </is>
      </c>
      <c r="F100" s="24" t="n">
        <v>8.449999999999999</v>
      </c>
      <c r="G100" s="23" t="n">
        <v>1</v>
      </c>
      <c r="H100" s="23" t="inlineStr">
        <is>
          <t>—</t>
        </is>
      </c>
    </row>
    <row r="101">
      <c r="A101" s="23" t="n">
        <v>97</v>
      </c>
      <c r="B101" s="23" t="inlineStr">
        <is>
          <t>140330</t>
        </is>
      </c>
      <c r="C101" s="23" t="inlineStr">
        <is>
          <t>—</t>
        </is>
      </c>
      <c r="D101" s="23" t="inlineStr">
        <is>
          <t>760126</t>
        </is>
      </c>
      <c r="E101" s="23" t="inlineStr">
        <is>
          <t>SPARE N.10 PCS. ELBOW FITTING 1/4"-1/4" HUL1/4-1/4G</t>
        </is>
      </c>
      <c r="F101" s="24" t="n">
        <v>21.5</v>
      </c>
      <c r="G101" s="23" t="n">
        <v>10</v>
      </c>
      <c r="H101" s="23" t="inlineStr">
        <is>
          <t>—</t>
        </is>
      </c>
    </row>
    <row r="102">
      <c r="A102" s="23" t="n">
        <v>98</v>
      </c>
      <c r="B102" s="23" t="inlineStr">
        <is>
          <t>150521A</t>
        </is>
      </c>
      <c r="C102" s="23" t="inlineStr">
        <is>
          <t>—</t>
        </is>
      </c>
      <c r="D102" s="23" t="inlineStr">
        <is>
          <t>760128</t>
        </is>
      </c>
      <c r="E102" s="23" t="inlineStr">
        <is>
          <t>SPARE PICCOLA HOT 15 MAIN CONTROL BOARD</t>
        </is>
      </c>
      <c r="F102" s="24" t="n">
        <v>40.9</v>
      </c>
      <c r="G102" s="23" t="n">
        <v>1</v>
      </c>
      <c r="H102" s="23" t="inlineStr">
        <is>
          <t>—</t>
        </is>
      </c>
    </row>
    <row r="103">
      <c r="A103" s="23" t="n">
        <v>99</v>
      </c>
      <c r="B103" s="23" t="inlineStr">
        <is>
          <t>160397</t>
        </is>
      </c>
      <c r="C103" s="23" t="inlineStr">
        <is>
          <t>—</t>
        </is>
      </c>
      <c r="D103" s="23" t="inlineStr">
        <is>
          <t>760129</t>
        </is>
      </c>
      <c r="E103" s="23" t="inlineStr">
        <is>
          <t>SPARE BLUSODA HOT LABEL</t>
        </is>
      </c>
      <c r="F103" s="24" t="n">
        <v>4.2</v>
      </c>
      <c r="G103" s="23" t="n">
        <v>1</v>
      </c>
      <c r="H103" s="23" t="inlineStr">
        <is>
          <t>—</t>
        </is>
      </c>
    </row>
    <row r="104">
      <c r="A104" s="23" t="n">
        <v>100</v>
      </c>
      <c r="B104" s="23" t="inlineStr">
        <is>
          <t>150052</t>
        </is>
      </c>
      <c r="C104" s="23" t="inlineStr">
        <is>
          <t>—</t>
        </is>
      </c>
      <c r="D104" s="23" t="inlineStr">
        <is>
          <t>760131</t>
        </is>
      </c>
      <c r="E104" s="23" t="inlineStr">
        <is>
          <t>SPARE BLACK NON-CREASE CABLE GLAND M20x1,5</t>
        </is>
      </c>
      <c r="F104" s="24" t="n">
        <v>3.7</v>
      </c>
      <c r="G104" s="23" t="n">
        <v>1</v>
      </c>
      <c r="H104" s="6" t="inlineStr">
        <is>
          <t>BW-0428</t>
        </is>
      </c>
    </row>
    <row r="105">
      <c r="A105" s="23" t="n">
        <v>101</v>
      </c>
      <c r="B105" s="23" t="inlineStr">
        <is>
          <t>140825</t>
        </is>
      </c>
      <c r="C105" s="23" t="inlineStr">
        <is>
          <t>—</t>
        </is>
      </c>
      <c r="D105" s="23" t="inlineStr">
        <is>
          <t>760132</t>
        </is>
      </c>
      <c r="E105" s="23" t="inlineStr">
        <is>
          <t>SPARE 10M CLEAR PVC TUBE D12MM</t>
        </is>
      </c>
      <c r="F105" s="24" t="n">
        <v>18.5</v>
      </c>
      <c r="G105" s="23" t="n">
        <v>1</v>
      </c>
      <c r="H105" s="23" t="inlineStr">
        <is>
          <t>—</t>
        </is>
      </c>
    </row>
    <row r="106">
      <c r="A106" s="23" t="n">
        <v>102</v>
      </c>
      <c r="B106" s="23" t="inlineStr">
        <is>
          <t>140019</t>
        </is>
      </c>
      <c r="C106" s="23" t="inlineStr">
        <is>
          <t>—</t>
        </is>
      </c>
      <c r="D106" s="23" t="inlineStr">
        <is>
          <t>760133</t>
        </is>
      </c>
      <c r="E106" s="23" t="inlineStr">
        <is>
          <t>SPARE N.10 PCS. UNION ELBOW SUPERSEAL 5/16"-5/16" SM030808S</t>
        </is>
      </c>
      <c r="F106" s="24" t="n">
        <v>29</v>
      </c>
      <c r="G106" s="23" t="n">
        <v>10</v>
      </c>
      <c r="H106" s="23" t="inlineStr">
        <is>
          <t>—</t>
        </is>
      </c>
    </row>
    <row r="107">
      <c r="A107" s="23" t="n">
        <v>103</v>
      </c>
      <c r="B107" s="23" t="inlineStr">
        <is>
          <t>130211</t>
        </is>
      </c>
      <c r="C107" s="23" t="inlineStr">
        <is>
          <t>—</t>
        </is>
      </c>
      <c r="D107" s="23" t="inlineStr">
        <is>
          <t>760134</t>
        </is>
      </c>
      <c r="E107" s="23" t="inlineStr">
        <is>
          <t>SPARE N.10 PCS. NICKEL-PLATED BRASS STRAIGHT FITTING 8MM- BSP3/8"M HFRC08G03</t>
        </is>
      </c>
      <c r="F107" s="24" t="n">
        <v>39</v>
      </c>
      <c r="G107" s="23" t="n">
        <v>10</v>
      </c>
      <c r="H107" s="23" t="inlineStr">
        <is>
          <t>—</t>
        </is>
      </c>
    </row>
    <row r="108">
      <c r="A108" s="23" t="n">
        <v>104</v>
      </c>
      <c r="B108" s="23" t="inlineStr">
        <is>
          <t>140023</t>
        </is>
      </c>
      <c r="C108" s="23" t="inlineStr">
        <is>
          <t>—</t>
        </is>
      </c>
      <c r="D108" s="23" t="inlineStr">
        <is>
          <t>760135</t>
        </is>
      </c>
      <c r="E108" s="23" t="inlineStr">
        <is>
          <t>SPARE N.10 PCS. TWO WAY DIVIDER FITTING 8MM RM2308E</t>
        </is>
      </c>
      <c r="F108" s="24" t="n">
        <v>37.5</v>
      </c>
      <c r="G108" s="23" t="n">
        <v>10</v>
      </c>
      <c r="H108" s="23" t="inlineStr">
        <is>
          <t>—</t>
        </is>
      </c>
    </row>
    <row r="109">
      <c r="A109" s="23" t="n">
        <v>105</v>
      </c>
      <c r="B109" s="23" t="inlineStr">
        <is>
          <t>150551</t>
        </is>
      </c>
      <c r="C109" s="23" t="inlineStr">
        <is>
          <t>—</t>
        </is>
      </c>
      <c r="D109" s="23" t="inlineStr">
        <is>
          <t>760136</t>
        </is>
      </c>
      <c r="E109" s="23" t="inlineStr">
        <is>
          <t>SPARE SOLENOID VALVE 2IN 6MM - 1OUT 8MM 24VAC</t>
        </is>
      </c>
      <c r="F109" s="24" t="n">
        <v>26.7</v>
      </c>
      <c r="G109" s="23" t="n">
        <v>1</v>
      </c>
      <c r="H109" s="6" t="inlineStr">
        <is>
          <t>BW-0291</t>
        </is>
      </c>
    </row>
    <row r="110">
      <c r="A110" s="23" t="n">
        <v>106</v>
      </c>
      <c r="B110" s="23" t="inlineStr">
        <is>
          <t>110138</t>
        </is>
      </c>
      <c r="C110" s="23" t="inlineStr">
        <is>
          <t>—</t>
        </is>
      </c>
      <c r="D110" s="23" t="inlineStr">
        <is>
          <t>760137</t>
        </is>
      </c>
      <c r="E110" s="23" t="inlineStr">
        <is>
          <t>SPARE BOX 80 TOP COVER</t>
        </is>
      </c>
      <c r="F110" s="24" t="n">
        <v>30.1</v>
      </c>
      <c r="G110" s="23" t="n">
        <v>1</v>
      </c>
      <c r="H110" s="6" t="inlineStr">
        <is>
          <t>BW-0419</t>
        </is>
      </c>
    </row>
    <row r="111">
      <c r="A111" s="23" t="n">
        <v>107</v>
      </c>
      <c r="B111" s="23" t="inlineStr">
        <is>
          <t>110137</t>
        </is>
      </c>
      <c r="C111" s="23" t="inlineStr">
        <is>
          <t>—</t>
        </is>
      </c>
      <c r="D111" s="23" t="inlineStr">
        <is>
          <t>760138</t>
        </is>
      </c>
      <c r="E111" s="23" t="inlineStr">
        <is>
          <t>SPARE BOX 80 SHELL</t>
        </is>
      </c>
      <c r="F111" s="24" t="n">
        <v>102.7</v>
      </c>
      <c r="G111" s="23" t="n">
        <v>1</v>
      </c>
      <c r="H111" s="6" t="inlineStr">
        <is>
          <t>BW-0420</t>
        </is>
      </c>
    </row>
    <row r="112">
      <c r="A112" s="23" t="n">
        <v>108</v>
      </c>
      <c r="B112" s="23" t="inlineStr">
        <is>
          <t>140965</t>
        </is>
      </c>
      <c r="C112" s="23" t="inlineStr">
        <is>
          <t>—</t>
        </is>
      </c>
      <c r="D112" s="23" t="inlineStr">
        <is>
          <t>760139</t>
        </is>
      </c>
      <c r="E112" s="23" t="inlineStr">
        <is>
          <t>SPARE SELFIZZ NEO SNAP-IN SPOUT</t>
        </is>
      </c>
      <c r="F112" s="24" t="n">
        <v>1.2</v>
      </c>
      <c r="G112" s="23" t="n">
        <v>1</v>
      </c>
      <c r="H112" s="23" t="inlineStr">
        <is>
          <t>—</t>
        </is>
      </c>
    </row>
    <row r="113">
      <c r="A113" s="23" t="n">
        <v>109</v>
      </c>
      <c r="B113" s="23" t="inlineStr">
        <is>
          <t>150356</t>
        </is>
      </c>
      <c r="C113" s="23" t="inlineStr">
        <is>
          <t>—</t>
        </is>
      </c>
      <c r="D113" s="23" t="inlineStr">
        <is>
          <t>760140</t>
        </is>
      </c>
      <c r="E113" s="23" t="inlineStr">
        <is>
          <t>SPARE SOLENOID VALVE 1IN 8MM - 1OUT 8MM W/BRACKET</t>
        </is>
      </c>
      <c r="F113" s="24" t="n">
        <v>20.3</v>
      </c>
      <c r="G113" s="23" t="n">
        <v>1</v>
      </c>
      <c r="H113" s="6" t="inlineStr">
        <is>
          <t>BW-0381</t>
        </is>
      </c>
    </row>
    <row r="114">
      <c r="A114" s="23" t="n">
        <v>110</v>
      </c>
      <c r="B114" s="23" t="inlineStr">
        <is>
          <t>150662</t>
        </is>
      </c>
      <c r="C114" s="23" t="inlineStr">
        <is>
          <t>—</t>
        </is>
      </c>
      <c r="D114" s="23" t="inlineStr">
        <is>
          <t>760141</t>
        </is>
      </c>
      <c r="E114" s="23" t="inlineStr">
        <is>
          <t>SPARE SELFIZZ NEO SOLENOID VALVE 3IN 1/4" - 1OUT 8MM W/BRACKET</t>
        </is>
      </c>
      <c r="F114" s="24" t="n">
        <v>33.7</v>
      </c>
      <c r="G114" s="23" t="n">
        <v>1</v>
      </c>
      <c r="H114" s="23" t="inlineStr">
        <is>
          <t>—</t>
        </is>
      </c>
    </row>
    <row r="115">
      <c r="A115" s="23" t="n">
        <v>111</v>
      </c>
      <c r="B115" s="23" t="inlineStr">
        <is>
          <t>150663</t>
        </is>
      </c>
      <c r="C115" s="23" t="inlineStr">
        <is>
          <t>—</t>
        </is>
      </c>
      <c r="D115" s="23" t="inlineStr">
        <is>
          <t>760142</t>
        </is>
      </c>
      <c r="E115" s="23" t="inlineStr">
        <is>
          <t>SPARE SELFIZZ NEO SOLENOID VALVE 2IN 1/4" - 1OUT 5/16" W/BRACKET</t>
        </is>
      </c>
      <c r="F115" s="24" t="n">
        <v>25.25</v>
      </c>
      <c r="G115" s="23" t="n">
        <v>1</v>
      </c>
      <c r="H115" s="23" t="inlineStr">
        <is>
          <t>—</t>
        </is>
      </c>
    </row>
    <row r="116">
      <c r="A116" s="23" t="n">
        <v>112</v>
      </c>
      <c r="B116" s="23" t="inlineStr">
        <is>
          <t>151015</t>
        </is>
      </c>
      <c r="C116" s="23" t="inlineStr">
        <is>
          <t>—</t>
        </is>
      </c>
      <c r="D116" s="23" t="inlineStr">
        <is>
          <t>760143</t>
        </is>
      </c>
      <c r="E116" s="23" t="inlineStr">
        <is>
          <t>SPARE LEVEL CONTROL PLUS AMBIENT AND COLD</t>
        </is>
      </c>
      <c r="F116" s="24" t="n">
        <v>56.95</v>
      </c>
      <c r="G116" s="23" t="n">
        <v>1</v>
      </c>
      <c r="H116" s="23" t="inlineStr">
        <is>
          <t>—</t>
        </is>
      </c>
    </row>
    <row r="117">
      <c r="A117" s="23" t="n">
        <v>113</v>
      </c>
      <c r="B117" s="23" t="inlineStr">
        <is>
          <t>150486</t>
        </is>
      </c>
      <c r="C117" s="23" t="inlineStr">
        <is>
          <t>—</t>
        </is>
      </c>
      <c r="D117" s="23" t="inlineStr">
        <is>
          <t>760144</t>
        </is>
      </c>
      <c r="E117" s="23" t="inlineStr">
        <is>
          <t>SPARE SELFIZZ NEO SOLENOID VALVE 3IN 1/4" - 1OUT 5/16" W/BRACKET</t>
        </is>
      </c>
      <c r="F117" s="24" t="n">
        <v>35.55</v>
      </c>
      <c r="G117" s="23" t="n">
        <v>1</v>
      </c>
      <c r="H117" s="23" t="inlineStr">
        <is>
          <t>—</t>
        </is>
      </c>
    </row>
    <row r="118">
      <c r="A118" s="23" t="n">
        <v>114</v>
      </c>
      <c r="B118" s="23" t="inlineStr">
        <is>
          <t>151018</t>
        </is>
      </c>
      <c r="C118" s="23" t="inlineStr">
        <is>
          <t>—</t>
        </is>
      </c>
      <c r="D118" s="23" t="inlineStr">
        <is>
          <t>760145</t>
        </is>
      </c>
      <c r="E118" s="23" t="inlineStr">
        <is>
          <t>SPARE LEVEL CONTROL PLUS AMBIENT, COLD, FIZZ AND HOT</t>
        </is>
      </c>
      <c r="F118" s="24" t="n">
        <v>66.55</v>
      </c>
      <c r="G118" s="23" t="n">
        <v>1</v>
      </c>
      <c r="H118" s="23" t="inlineStr">
        <is>
          <t>—</t>
        </is>
      </c>
    </row>
    <row r="119">
      <c r="A119" s="23" t="n">
        <v>115</v>
      </c>
      <c r="B119" s="23" t="inlineStr">
        <is>
          <t>151021</t>
        </is>
      </c>
      <c r="C119" s="23" t="inlineStr">
        <is>
          <t>—</t>
        </is>
      </c>
      <c r="D119" s="23" t="inlineStr">
        <is>
          <t>760146</t>
        </is>
      </c>
      <c r="E119" s="23" t="inlineStr">
        <is>
          <t>SPARE HOT WATER TANK CONTROL BOARD + FIREWALL</t>
        </is>
      </c>
      <c r="F119" s="24" t="n">
        <v>73.15000000000001</v>
      </c>
      <c r="G119" s="23" t="n">
        <v>1</v>
      </c>
      <c r="H119" s="23" t="inlineStr">
        <is>
          <t>—</t>
        </is>
      </c>
    </row>
    <row r="120">
      <c r="A120" s="23" t="n">
        <v>116</v>
      </c>
      <c r="B120" s="23" t="inlineStr">
        <is>
          <t>150844</t>
        </is>
      </c>
      <c r="C120" s="23" t="inlineStr">
        <is>
          <t>—</t>
        </is>
      </c>
      <c r="D120" s="23" t="inlineStr">
        <is>
          <t>760147</t>
        </is>
      </c>
      <c r="E120" s="23" t="inlineStr">
        <is>
          <t>SPARE IEC SOCKET W/FILTER</t>
        </is>
      </c>
      <c r="F120" s="24" t="n">
        <v>14</v>
      </c>
      <c r="G120" s="23" t="n">
        <v>1</v>
      </c>
      <c r="H120" s="23" t="inlineStr">
        <is>
          <t>—</t>
        </is>
      </c>
    </row>
    <row r="121">
      <c r="A121" s="23" t="n">
        <v>117</v>
      </c>
      <c r="B121" s="23" t="inlineStr">
        <is>
          <t>150551</t>
        </is>
      </c>
      <c r="C121" s="23" t="inlineStr">
        <is>
          <t>—</t>
        </is>
      </c>
      <c r="D121" s="23" t="inlineStr">
        <is>
          <t>760148</t>
        </is>
      </c>
      <c r="E121" s="23" t="inlineStr">
        <is>
          <t>SPARE SELFIZZ NEO SOLENOID VALVE 2IN 6MM - 1OUT 8MM W/BRACKET</t>
        </is>
      </c>
      <c r="F121" s="24" t="n">
        <v>26.7</v>
      </c>
      <c r="G121" s="23" t="n">
        <v>1</v>
      </c>
      <c r="H121" s="6" t="inlineStr">
        <is>
          <t>BW-0291</t>
        </is>
      </c>
    </row>
    <row r="122">
      <c r="A122" s="23" t="n">
        <v>118</v>
      </c>
      <c r="B122" s="23" t="inlineStr">
        <is>
          <t>151017</t>
        </is>
      </c>
      <c r="C122" s="23" t="inlineStr">
        <is>
          <t>—</t>
        </is>
      </c>
      <c r="D122" s="23" t="inlineStr">
        <is>
          <t>760150</t>
        </is>
      </c>
      <c r="E122" s="23" t="inlineStr">
        <is>
          <t>SPARE LEVEL CONTROL PLUS AMBIENT, COLD AND HOT</t>
        </is>
      </c>
      <c r="F122" s="24" t="n">
        <v>56.95</v>
      </c>
      <c r="G122" s="23" t="n">
        <v>1</v>
      </c>
      <c r="H122" s="23" t="inlineStr">
        <is>
          <t>—</t>
        </is>
      </c>
    </row>
    <row r="123">
      <c r="A123" s="23" t="n">
        <v>119</v>
      </c>
      <c r="B123" s="23" t="inlineStr">
        <is>
          <t>—</t>
        </is>
      </c>
      <c r="C123" s="23" t="inlineStr">
        <is>
          <t>750326</t>
        </is>
      </c>
      <c r="D123" s="23" t="inlineStr">
        <is>
          <t>760151</t>
        </is>
      </c>
      <c r="E123" s="23" t="inlineStr">
        <is>
          <t>SPARE SELFIZZ NEO FRONT PANEL</t>
        </is>
      </c>
      <c r="F123" s="24" t="n">
        <v>48.8</v>
      </c>
      <c r="G123" s="23" t="n">
        <v>1</v>
      </c>
      <c r="H123" s="23" t="inlineStr">
        <is>
          <t>—</t>
        </is>
      </c>
    </row>
    <row r="124">
      <c r="A124" s="23" t="n">
        <v>120</v>
      </c>
      <c r="B124" s="23" t="inlineStr">
        <is>
          <t>—</t>
        </is>
      </c>
      <c r="C124" s="23" t="inlineStr">
        <is>
          <t>750332</t>
        </is>
      </c>
      <c r="D124" s="23" t="inlineStr">
        <is>
          <t>760152</t>
        </is>
      </c>
      <c r="E124" s="23" t="inlineStr">
        <is>
          <t>SPARE SELFIZZ NEO FRONT PCB LED W/CABLE</t>
        </is>
      </c>
      <c r="F124" s="24" t="n">
        <v>22.55</v>
      </c>
      <c r="G124" s="23" t="n">
        <v>1</v>
      </c>
      <c r="H124" s="23" t="inlineStr">
        <is>
          <t>—</t>
        </is>
      </c>
    </row>
    <row r="125">
      <c r="A125" s="23" t="n">
        <v>121</v>
      </c>
      <c r="B125" s="23" t="inlineStr">
        <is>
          <t>—</t>
        </is>
      </c>
      <c r="C125" s="23" t="inlineStr">
        <is>
          <t>750327</t>
        </is>
      </c>
      <c r="D125" s="23" t="inlineStr">
        <is>
          <t>760153</t>
        </is>
      </c>
      <c r="E125" s="23" t="inlineStr">
        <is>
          <t>SPARE SELFIZZ NEO DRIP TRAY W/GRILL</t>
        </is>
      </c>
      <c r="F125" s="24" t="n">
        <v>34.3</v>
      </c>
      <c r="G125" s="23" t="n">
        <v>1</v>
      </c>
      <c r="H125" s="23" t="inlineStr">
        <is>
          <t>—</t>
        </is>
      </c>
    </row>
    <row r="126">
      <c r="A126" s="23" t="n">
        <v>122</v>
      </c>
      <c r="B126" s="23" t="inlineStr">
        <is>
          <t>—</t>
        </is>
      </c>
      <c r="C126" s="23" t="inlineStr">
        <is>
          <t>750329</t>
        </is>
      </c>
      <c r="D126" s="23" t="inlineStr">
        <is>
          <t>760154</t>
        </is>
      </c>
      <c r="E126" s="23" t="inlineStr">
        <is>
          <t>SPARE SELFIZZ NEO F PUSH BUTTONS</t>
        </is>
      </c>
      <c r="F126" s="24" t="n">
        <v>10.6</v>
      </c>
      <c r="G126" s="23" t="n">
        <v>1</v>
      </c>
      <c r="H126" s="23" t="inlineStr">
        <is>
          <t>—</t>
        </is>
      </c>
    </row>
    <row r="127">
      <c r="A127" s="23" t="n">
        <v>123</v>
      </c>
      <c r="B127" s="23" t="inlineStr">
        <is>
          <t>—</t>
        </is>
      </c>
      <c r="C127" s="23" t="inlineStr">
        <is>
          <t>750337</t>
        </is>
      </c>
      <c r="D127" s="23" t="inlineStr">
        <is>
          <t>760155</t>
        </is>
      </c>
      <c r="E127" s="23" t="inlineStr">
        <is>
          <t>SPARE SELFIZZ NEO 4 PUSH BUTTON KEYPAD SUPPORT</t>
        </is>
      </c>
      <c r="F127" s="24" t="n">
        <v>24.7</v>
      </c>
      <c r="G127" s="23" t="n">
        <v>1</v>
      </c>
      <c r="H127" s="23" t="inlineStr">
        <is>
          <t>—</t>
        </is>
      </c>
    </row>
    <row r="128">
      <c r="A128" s="23" t="n">
        <v>124</v>
      </c>
      <c r="B128" s="23" t="inlineStr">
        <is>
          <t>—</t>
        </is>
      </c>
      <c r="C128" s="23" t="inlineStr">
        <is>
          <t>750338</t>
        </is>
      </c>
      <c r="D128" s="23" t="inlineStr">
        <is>
          <t>760156</t>
        </is>
      </c>
      <c r="E128" s="23" t="inlineStr">
        <is>
          <t>SPARE SELFIZZ NEO F KEYPAD</t>
        </is>
      </c>
      <c r="F128" s="24" t="n">
        <v>63.85</v>
      </c>
      <c r="G128" s="23" t="n">
        <v>1</v>
      </c>
      <c r="H128" s="23" t="inlineStr">
        <is>
          <t>—</t>
        </is>
      </c>
    </row>
    <row r="129">
      <c r="A129" s="23" t="n">
        <v>125</v>
      </c>
      <c r="B129" s="23" t="inlineStr">
        <is>
          <t>—</t>
        </is>
      </c>
      <c r="C129" s="23" t="inlineStr">
        <is>
          <t>750341</t>
        </is>
      </c>
      <c r="D129" s="23" t="inlineStr">
        <is>
          <t>760157</t>
        </is>
      </c>
      <c r="E129" s="23" t="inlineStr">
        <is>
          <t>SPARE SELFIZZ NEO 2 PUSH BUTTON KEYPAD SUPPORT</t>
        </is>
      </c>
      <c r="F129" s="24" t="n">
        <v>25.05</v>
      </c>
      <c r="G129" s="23" t="n">
        <v>1</v>
      </c>
      <c r="H129" s="23" t="inlineStr">
        <is>
          <t>—</t>
        </is>
      </c>
    </row>
    <row r="130">
      <c r="A130" s="23" t="n">
        <v>126</v>
      </c>
      <c r="B130" s="23" t="inlineStr">
        <is>
          <t>—</t>
        </is>
      </c>
      <c r="C130" s="23" t="inlineStr">
        <is>
          <t>750328</t>
        </is>
      </c>
      <c r="D130" s="23" t="inlineStr">
        <is>
          <t>760158</t>
        </is>
      </c>
      <c r="E130" s="23" t="inlineStr">
        <is>
          <t>SPARE SELFIZZ NEO C PUSH BUTTONS</t>
        </is>
      </c>
      <c r="F130" s="24" t="n">
        <v>10.6</v>
      </c>
      <c r="G130" s="23" t="n">
        <v>1</v>
      </c>
      <c r="H130" s="23" t="inlineStr">
        <is>
          <t>—</t>
        </is>
      </c>
    </row>
    <row r="131">
      <c r="A131" s="23" t="n">
        <v>127</v>
      </c>
      <c r="B131" s="23" t="inlineStr">
        <is>
          <t>—</t>
        </is>
      </c>
      <c r="C131" s="23" t="inlineStr">
        <is>
          <t>750330</t>
        </is>
      </c>
      <c r="D131" s="23" t="inlineStr">
        <is>
          <t>760159</t>
        </is>
      </c>
      <c r="E131" s="23" t="inlineStr">
        <is>
          <t>SPARE SELFIZZ NEO H PUSH BUTTONS</t>
        </is>
      </c>
      <c r="F131" s="24" t="n">
        <v>10.6</v>
      </c>
      <c r="G131" s="23" t="n">
        <v>1</v>
      </c>
      <c r="H131" s="23" t="inlineStr">
        <is>
          <t>—</t>
        </is>
      </c>
    </row>
    <row r="132">
      <c r="A132" s="23" t="n">
        <v>128</v>
      </c>
      <c r="B132" s="23" t="inlineStr">
        <is>
          <t>—</t>
        </is>
      </c>
      <c r="C132" s="23" t="inlineStr">
        <is>
          <t>750331</t>
        </is>
      </c>
      <c r="D132" s="23" t="inlineStr">
        <is>
          <t>760160</t>
        </is>
      </c>
      <c r="E132" s="23" t="inlineStr">
        <is>
          <t>SPARE SELFIZZ NEO FH PUSH BUTTONS</t>
        </is>
      </c>
      <c r="F132" s="24" t="n">
        <v>10.6</v>
      </c>
      <c r="G132" s="23" t="n">
        <v>1</v>
      </c>
      <c r="H132" s="23" t="inlineStr">
        <is>
          <t>—</t>
        </is>
      </c>
    </row>
    <row r="133">
      <c r="A133" s="23" t="n">
        <v>129</v>
      </c>
      <c r="B133" s="23" t="inlineStr">
        <is>
          <t>—</t>
        </is>
      </c>
      <c r="C133" s="23" t="inlineStr">
        <is>
          <t>750339</t>
        </is>
      </c>
      <c r="D133" s="23" t="inlineStr">
        <is>
          <t>760161</t>
        </is>
      </c>
      <c r="E133" s="23" t="inlineStr">
        <is>
          <t>SPARE SELFIZZ NEO FH / H KEYPAD</t>
        </is>
      </c>
      <c r="F133" s="24" t="n">
        <v>51.5</v>
      </c>
      <c r="G133" s="23" t="n">
        <v>1</v>
      </c>
      <c r="H133" s="23" t="inlineStr">
        <is>
          <t>—</t>
        </is>
      </c>
    </row>
    <row r="134">
      <c r="A134" s="23" t="n">
        <v>130</v>
      </c>
      <c r="B134" s="23" t="inlineStr">
        <is>
          <t>—</t>
        </is>
      </c>
      <c r="C134" s="23" t="inlineStr">
        <is>
          <t>750340</t>
        </is>
      </c>
      <c r="D134" s="23" t="inlineStr">
        <is>
          <t>760162</t>
        </is>
      </c>
      <c r="E134" s="23" t="inlineStr">
        <is>
          <t>SPARE SELFIZZ NEO C KEYPAD</t>
        </is>
      </c>
      <c r="F134" s="24" t="n">
        <v>51.5</v>
      </c>
      <c r="G134" s="23" t="n">
        <v>1</v>
      </c>
      <c r="H134" s="23" t="inlineStr">
        <is>
          <t>—</t>
        </is>
      </c>
    </row>
    <row r="135">
      <c r="A135" s="23" t="n">
        <v>131</v>
      </c>
      <c r="B135" s="23" t="inlineStr">
        <is>
          <t>140877</t>
        </is>
      </c>
      <c r="C135" s="23" t="inlineStr">
        <is>
          <t>—</t>
        </is>
      </c>
      <c r="D135" s="23" t="inlineStr">
        <is>
          <t>760163</t>
        </is>
      </c>
      <c r="E135" s="23" t="inlineStr">
        <is>
          <t>SPARE N.10 PCS. UNION ELBOW FITTING 8MM-8MM PM0308E</t>
        </is>
      </c>
      <c r="F135" s="24" t="n">
        <v>22</v>
      </c>
      <c r="G135" s="23" t="n">
        <v>10</v>
      </c>
      <c r="H135" s="23" t="inlineStr">
        <is>
          <t>—</t>
        </is>
      </c>
    </row>
    <row r="136">
      <c r="A136" s="23" t="n">
        <v>132</v>
      </c>
      <c r="B136" s="23" t="inlineStr">
        <is>
          <t>140879</t>
        </is>
      </c>
      <c r="C136" s="23" t="inlineStr">
        <is>
          <t>—</t>
        </is>
      </c>
      <c r="D136" s="23" t="inlineStr">
        <is>
          <t>760164</t>
        </is>
      </c>
      <c r="E136" s="23" t="inlineStr">
        <is>
          <t>SPARE N. 10 PCS. REDUCING ELBOW FITTING 8MM-6MM PM210806E</t>
        </is>
      </c>
      <c r="F136" s="24" t="n">
        <v>31</v>
      </c>
      <c r="G136" s="23" t="n">
        <v>10</v>
      </c>
      <c r="H136" s="23" t="inlineStr">
        <is>
          <t>—</t>
        </is>
      </c>
    </row>
    <row r="137">
      <c r="A137" s="23" t="n">
        <v>133</v>
      </c>
      <c r="B137" s="23" t="inlineStr">
        <is>
          <t>810307</t>
        </is>
      </c>
      <c r="C137" s="23" t="inlineStr">
        <is>
          <t>—</t>
        </is>
      </c>
      <c r="D137" s="23" t="inlineStr">
        <is>
          <t>760165</t>
        </is>
      </c>
      <c r="E137" s="23" t="inlineStr">
        <is>
          <t>SPARE BLUE LIGHT HOT PUSH BUTTON ENGRAVED</t>
        </is>
      </c>
      <c r="F137" s="24" t="n">
        <v>16.4</v>
      </c>
      <c r="G137" s="23" t="n">
        <v>1</v>
      </c>
      <c r="H137" s="23" t="inlineStr">
        <is>
          <t>—</t>
        </is>
      </c>
    </row>
    <row r="138">
      <c r="A138" s="23" t="n">
        <v>134</v>
      </c>
      <c r="B138" s="23" t="inlineStr">
        <is>
          <t>810137</t>
        </is>
      </c>
      <c r="C138" s="23" t="inlineStr">
        <is>
          <t>—</t>
        </is>
      </c>
      <c r="D138" s="23" t="inlineStr">
        <is>
          <t>760166</t>
        </is>
      </c>
      <c r="E138" s="23" t="inlineStr">
        <is>
          <t>SPARE EVO HOT WATER TANK 1L 115V W/TERMODISK ASSEMBLED</t>
        </is>
      </c>
      <c r="F138" s="24" t="n">
        <v>125.15</v>
      </c>
      <c r="G138" s="23" t="n">
        <v>1</v>
      </c>
      <c r="H138" s="23" t="inlineStr">
        <is>
          <t>—</t>
        </is>
      </c>
    </row>
    <row r="139">
      <c r="A139" s="23" t="n">
        <v>135</v>
      </c>
      <c r="B139" s="23" t="inlineStr">
        <is>
          <t>150103</t>
        </is>
      </c>
      <c r="C139" s="23" t="inlineStr">
        <is>
          <t>—</t>
        </is>
      </c>
      <c r="D139" s="23" t="inlineStr">
        <is>
          <t>760167</t>
        </is>
      </c>
      <c r="E139" s="23" t="inlineStr">
        <is>
          <t>SPARE USA POWER CABLE SJT3x14 AWG 2M IEC 90G</t>
        </is>
      </c>
      <c r="F139" s="24" t="n">
        <v>11.55</v>
      </c>
      <c r="G139" s="23" t="n">
        <v>1</v>
      </c>
      <c r="H139" s="23" t="inlineStr">
        <is>
          <t>—</t>
        </is>
      </c>
    </row>
    <row r="140">
      <c r="A140" s="23" t="n">
        <v>136</v>
      </c>
      <c r="B140" s="23" t="inlineStr">
        <is>
          <t>150069</t>
        </is>
      </c>
      <c r="C140" s="23" t="inlineStr">
        <is>
          <t>—</t>
        </is>
      </c>
      <c r="D140" s="23" t="inlineStr">
        <is>
          <t>760168</t>
        </is>
      </c>
      <c r="E140" s="23" t="inlineStr">
        <is>
          <t>SPARE SOLENOID VALVE IN 3/4"M - OUT 8MM 24VAC W/FITTING 1/4" AND BRACKET</t>
        </is>
      </c>
      <c r="F140" s="24" t="n">
        <v>15.55</v>
      </c>
      <c r="G140" s="23" t="n">
        <v>1</v>
      </c>
      <c r="H140" s="23" t="inlineStr">
        <is>
          <t>—</t>
        </is>
      </c>
    </row>
    <row r="141">
      <c r="A141" s="23" t="n">
        <v>137</v>
      </c>
      <c r="B141" s="23" t="inlineStr">
        <is>
          <t>120028</t>
        </is>
      </c>
      <c r="C141" s="23" t="inlineStr">
        <is>
          <t>—</t>
        </is>
      </c>
      <c r="D141" s="23" t="inlineStr">
        <is>
          <t>760789</t>
        </is>
      </c>
      <c r="E141" s="23" t="inlineStr">
        <is>
          <t>SPARE W30 / W60 / W80 FAN 120x120x25 115V</t>
        </is>
      </c>
      <c r="F141" s="24" t="n">
        <v>18.65</v>
      </c>
      <c r="G141" s="23" t="n">
        <v>1</v>
      </c>
      <c r="H141" s="23" t="inlineStr">
        <is>
          <t>—</t>
        </is>
      </c>
    </row>
    <row r="142">
      <c r="A142" s="23" t="n">
        <v>138</v>
      </c>
      <c r="B142" s="23" t="inlineStr">
        <is>
          <t>810632</t>
        </is>
      </c>
      <c r="C142" s="23" t="inlineStr">
        <is>
          <t>—</t>
        </is>
      </c>
      <c r="D142" s="23" t="inlineStr">
        <is>
          <t>760170</t>
        </is>
      </c>
      <c r="E142" s="23" t="inlineStr">
        <is>
          <t>SPARE BOOSTER PUMP 115V</t>
        </is>
      </c>
      <c r="F142" s="24" t="n">
        <v>152.85</v>
      </c>
      <c r="G142" s="23" t="n">
        <v>1</v>
      </c>
      <c r="H142" s="23" t="inlineStr">
        <is>
          <t>—</t>
        </is>
      </c>
    </row>
    <row r="143">
      <c r="A143" s="23" t="n">
        <v>139</v>
      </c>
      <c r="B143" s="23" t="inlineStr">
        <is>
          <t>150387</t>
        </is>
      </c>
      <c r="C143" s="23" t="inlineStr">
        <is>
          <t>750120</t>
        </is>
      </c>
      <c r="D143" s="23" t="inlineStr">
        <is>
          <t>760171</t>
        </is>
      </c>
      <c r="E143" s="23" t="inlineStr">
        <is>
          <t>SPARE LEVEL CONTROL DC 115V W/RETROFIT CABLE</t>
        </is>
      </c>
      <c r="F143" s="24" t="n">
        <v>54.1</v>
      </c>
      <c r="G143" s="23" t="n">
        <v>1</v>
      </c>
      <c r="H143" s="23" t="inlineStr">
        <is>
          <t>—</t>
        </is>
      </c>
    </row>
    <row r="144">
      <c r="A144" s="23" t="n">
        <v>140</v>
      </c>
      <c r="B144" s="23" t="inlineStr">
        <is>
          <t>150663</t>
        </is>
      </c>
      <c r="C144" s="23" t="inlineStr">
        <is>
          <t>—</t>
        </is>
      </c>
      <c r="D144" s="23" t="inlineStr">
        <is>
          <t>760172</t>
        </is>
      </c>
      <c r="E144" s="23" t="inlineStr">
        <is>
          <t>SPARE BLUSODA HOT SOLENOID VALVE TD 2IN 1/4" - 1OUT 5/16" W/BRACKET</t>
        </is>
      </c>
      <c r="F144" s="24" t="n">
        <v>25.25</v>
      </c>
      <c r="G144" s="23" t="n">
        <v>1</v>
      </c>
      <c r="H144" s="23" t="inlineStr">
        <is>
          <t>—</t>
        </is>
      </c>
    </row>
    <row r="145">
      <c r="A145" s="23" t="n">
        <v>141</v>
      </c>
      <c r="B145" s="23" t="inlineStr">
        <is>
          <t>140194</t>
        </is>
      </c>
      <c r="C145" s="23" t="inlineStr">
        <is>
          <t>—</t>
        </is>
      </c>
      <c r="D145" s="23" t="inlineStr">
        <is>
          <t>760173</t>
        </is>
      </c>
      <c r="E145" s="23" t="inlineStr">
        <is>
          <t>SPARE FLOW REGULATOR 8MM</t>
        </is>
      </c>
      <c r="F145" s="24" t="n">
        <v>17</v>
      </c>
      <c r="G145" s="23" t="n">
        <v>1</v>
      </c>
      <c r="H145" s="6" t="inlineStr">
        <is>
          <t>BW-0185</t>
        </is>
      </c>
    </row>
    <row r="146">
      <c r="A146" s="23" t="n">
        <v>142</v>
      </c>
      <c r="B146" s="23" t="inlineStr">
        <is>
          <t>150273</t>
        </is>
      </c>
      <c r="C146" s="23" t="inlineStr">
        <is>
          <t>—</t>
        </is>
      </c>
      <c r="D146" s="23" t="inlineStr">
        <is>
          <t>760174</t>
        </is>
      </c>
      <c r="E146" s="23" t="inlineStr">
        <is>
          <t>SPARE TRANSFORMER 115-24V 50VA W/FASTON UL CL2</t>
        </is>
      </c>
      <c r="F146" s="24" t="n">
        <v>35.45</v>
      </c>
      <c r="G146" s="23" t="n">
        <v>1</v>
      </c>
      <c r="H146" s="23" t="inlineStr">
        <is>
          <t>—</t>
        </is>
      </c>
    </row>
    <row r="147">
      <c r="A147" s="23" t="n">
        <v>143</v>
      </c>
      <c r="B147" s="23" t="inlineStr">
        <is>
          <t>150507</t>
        </is>
      </c>
      <c r="C147" s="23" t="inlineStr">
        <is>
          <t>—</t>
        </is>
      </c>
      <c r="D147" s="23" t="inlineStr">
        <is>
          <t>760175</t>
        </is>
      </c>
      <c r="E147" s="23" t="inlineStr">
        <is>
          <t>SPARE TERMODISK 75°C EVO TANK</t>
        </is>
      </c>
      <c r="F147" s="24" t="n">
        <v>4.75</v>
      </c>
      <c r="G147" s="23" t="n">
        <v>1</v>
      </c>
      <c r="H147" s="23" t="inlineStr">
        <is>
          <t>—</t>
        </is>
      </c>
    </row>
    <row r="148">
      <c r="A148" s="23" t="n">
        <v>144</v>
      </c>
      <c r="B148" s="23" t="inlineStr">
        <is>
          <t>140298</t>
        </is>
      </c>
      <c r="C148" s="23" t="inlineStr">
        <is>
          <t>—</t>
        </is>
      </c>
      <c r="D148" s="23" t="inlineStr">
        <is>
          <t>760176</t>
        </is>
      </c>
      <c r="E148" s="23" t="inlineStr">
        <is>
          <t>SPARE 10M CLEAR PE TUBE D1/4"</t>
        </is>
      </c>
      <c r="F148" s="24" t="n">
        <v>14.5</v>
      </c>
      <c r="G148" s="23" t="n">
        <v>1</v>
      </c>
      <c r="H148" s="23" t="inlineStr">
        <is>
          <t>—</t>
        </is>
      </c>
    </row>
    <row r="149">
      <c r="A149" s="23" t="n">
        <v>145</v>
      </c>
      <c r="B149" s="23" t="inlineStr">
        <is>
          <t>140025</t>
        </is>
      </c>
      <c r="C149" s="23" t="inlineStr">
        <is>
          <t>—</t>
        </is>
      </c>
      <c r="D149" s="23" t="inlineStr">
        <is>
          <t>760177</t>
        </is>
      </c>
      <c r="E149" s="23" t="inlineStr">
        <is>
          <t>SPARE N.10 PCS. MALE CONNECTOR 8MM-BSP1/4"M PM010812E</t>
        </is>
      </c>
      <c r="F149" s="24" t="n">
        <v>16.5</v>
      </c>
      <c r="G149" s="23" t="n">
        <v>10</v>
      </c>
      <c r="H149" s="23" t="inlineStr">
        <is>
          <t>—</t>
        </is>
      </c>
    </row>
    <row r="150">
      <c r="A150" s="23" t="n">
        <v>146</v>
      </c>
      <c r="B150" s="23" t="inlineStr">
        <is>
          <t>140303</t>
        </is>
      </c>
      <c r="C150" s="23" t="inlineStr">
        <is>
          <t>—</t>
        </is>
      </c>
      <c r="D150" s="23" t="inlineStr">
        <is>
          <t>760178</t>
        </is>
      </c>
      <c r="E150" s="23" t="inlineStr">
        <is>
          <t>SPARE N.10 PCS. MALE CONNECTOR 1/4"-BSP1/4"M PI010812S</t>
        </is>
      </c>
      <c r="F150" s="24" t="n">
        <v>24</v>
      </c>
      <c r="G150" s="23" t="n">
        <v>10</v>
      </c>
      <c r="H150" s="23" t="inlineStr">
        <is>
          <t>—</t>
        </is>
      </c>
    </row>
    <row r="151">
      <c r="A151" s="23" t="n">
        <v>147</v>
      </c>
      <c r="B151" s="23" t="inlineStr">
        <is>
          <t>140141</t>
        </is>
      </c>
      <c r="C151" s="23" t="inlineStr">
        <is>
          <t>—</t>
        </is>
      </c>
      <c r="D151" s="23" t="inlineStr">
        <is>
          <t>760179</t>
        </is>
      </c>
      <c r="E151" s="23" t="inlineStr">
        <is>
          <t>SPARE N.10 PCS. PLUG IN ELBOW D6MM-6MM PM220606E</t>
        </is>
      </c>
      <c r="F151" s="24" t="n">
        <v>20</v>
      </c>
      <c r="G151" s="23" t="n">
        <v>10</v>
      </c>
      <c r="H151" s="23" t="inlineStr">
        <is>
          <t>—</t>
        </is>
      </c>
    </row>
    <row r="152">
      <c r="A152" s="23" t="n">
        <v>148</v>
      </c>
      <c r="B152" s="23" t="inlineStr">
        <is>
          <t>150153</t>
        </is>
      </c>
      <c r="C152" s="23" t="inlineStr">
        <is>
          <t>—</t>
        </is>
      </c>
      <c r="D152" s="23" t="inlineStr">
        <is>
          <t>760180</t>
        </is>
      </c>
      <c r="E152" s="23" t="inlineStr">
        <is>
          <t>SPARE BLUSODA SOLENOID VALVE 2IN M10x1 - 1OUT 1/4"M W/BRACKET</t>
        </is>
      </c>
      <c r="F152" s="24" t="n">
        <v>30.1</v>
      </c>
      <c r="G152" s="23" t="n">
        <v>1</v>
      </c>
      <c r="H152" s="23" t="inlineStr">
        <is>
          <t>—</t>
        </is>
      </c>
    </row>
    <row r="153">
      <c r="A153" s="23" t="n">
        <v>149</v>
      </c>
      <c r="B153" s="23" t="inlineStr">
        <is>
          <t>150390</t>
        </is>
      </c>
      <c r="C153" s="23" t="inlineStr">
        <is>
          <t>—</t>
        </is>
      </c>
      <c r="D153" s="23" t="inlineStr">
        <is>
          <t>760181</t>
        </is>
      </c>
      <c r="E153" s="23" t="inlineStr">
        <is>
          <t>SPARE 1UV INVERTER UL</t>
        </is>
      </c>
      <c r="F153" s="24" t="n">
        <v>42</v>
      </c>
      <c r="G153" s="23" t="n">
        <v>1</v>
      </c>
      <c r="H153" s="23" t="inlineStr">
        <is>
          <t>—</t>
        </is>
      </c>
    </row>
    <row r="154">
      <c r="A154" s="23" t="n">
        <v>150</v>
      </c>
      <c r="B154" s="23" t="inlineStr">
        <is>
          <t>140018</t>
        </is>
      </c>
      <c r="C154" s="23" t="inlineStr">
        <is>
          <t>—</t>
        </is>
      </c>
      <c r="D154" s="23" t="inlineStr">
        <is>
          <t>760182</t>
        </is>
      </c>
      <c r="E154" s="23" t="inlineStr">
        <is>
          <t>SPARE N.10 PCS. SUPERSEAL STRAIGHT FITTING 5/16"-5/16" HUCP5/16-5/16G</t>
        </is>
      </c>
      <c r="F154" s="24" t="n">
        <v>32</v>
      </c>
      <c r="G154" s="23" t="n">
        <v>10</v>
      </c>
      <c r="H154" s="23" t="inlineStr">
        <is>
          <t>—</t>
        </is>
      </c>
    </row>
    <row r="155">
      <c r="A155" s="23" t="n">
        <v>151</v>
      </c>
      <c r="B155" s="23" t="inlineStr">
        <is>
          <t>150485</t>
        </is>
      </c>
      <c r="C155" s="23" t="inlineStr">
        <is>
          <t>—</t>
        </is>
      </c>
      <c r="D155" s="23" t="inlineStr">
        <is>
          <t>760183</t>
        </is>
      </c>
      <c r="E155" s="23" t="inlineStr">
        <is>
          <t>SPARE SOLENOID VALVE V730 2IN 1/4" - 1OUT 5/16" 24VAC</t>
        </is>
      </c>
      <c r="F155" s="24" t="n">
        <v>26.7</v>
      </c>
      <c r="G155" s="23" t="n">
        <v>1</v>
      </c>
      <c r="H155" s="23" t="inlineStr">
        <is>
          <t>—</t>
        </is>
      </c>
    </row>
    <row r="156">
      <c r="A156" s="23" t="n">
        <v>152</v>
      </c>
      <c r="B156" s="23" t="inlineStr">
        <is>
          <t>141012</t>
        </is>
      </c>
      <c r="C156" s="23" t="inlineStr">
        <is>
          <t>—</t>
        </is>
      </c>
      <c r="D156" s="23" t="inlineStr">
        <is>
          <t>760184</t>
        </is>
      </c>
      <c r="E156" s="23" t="inlineStr">
        <is>
          <t>SPARE FLOW REGULATOR D1,8</t>
        </is>
      </c>
      <c r="F156" s="24" t="n">
        <v>0.08</v>
      </c>
      <c r="G156" s="23" t="n">
        <v>1</v>
      </c>
      <c r="H156" s="23" t="inlineStr">
        <is>
          <t>—</t>
        </is>
      </c>
    </row>
    <row r="157">
      <c r="A157" s="23" t="n">
        <v>153</v>
      </c>
      <c r="B157" s="23" t="inlineStr">
        <is>
          <t>140305</t>
        </is>
      </c>
      <c r="C157" s="23" t="inlineStr">
        <is>
          <t>—</t>
        </is>
      </c>
      <c r="D157" s="23" t="inlineStr">
        <is>
          <t>760185</t>
        </is>
      </c>
      <c r="E157" s="23" t="inlineStr">
        <is>
          <t>SPARE N.10 PCS. PLUG IN ELBOW 1/4"-1/4" PI220808S</t>
        </is>
      </c>
      <c r="F157" s="24" t="n">
        <v>13</v>
      </c>
      <c r="G157" s="23" t="n">
        <v>10</v>
      </c>
      <c r="H157" s="23" t="inlineStr">
        <is>
          <t>—</t>
        </is>
      </c>
    </row>
    <row r="158">
      <c r="A158" s="23" t="n">
        <v>154</v>
      </c>
      <c r="B158" s="23" t="inlineStr">
        <is>
          <t>160052</t>
        </is>
      </c>
      <c r="C158" s="23" t="inlineStr">
        <is>
          <t>—</t>
        </is>
      </c>
      <c r="D158" s="23" t="inlineStr">
        <is>
          <t>760186</t>
        </is>
      </c>
      <c r="E158" s="23" t="inlineStr">
        <is>
          <t>SPARE WAVE LIGHT LABEL AMBIENT AND COLD</t>
        </is>
      </c>
      <c r="F158" s="24" t="n">
        <v>4.85</v>
      </c>
      <c r="G158" s="23" t="n">
        <v>1</v>
      </c>
      <c r="H158" s="23" t="inlineStr">
        <is>
          <t>—</t>
        </is>
      </c>
    </row>
    <row r="159">
      <c r="A159" s="23" t="n">
        <v>155</v>
      </c>
      <c r="B159" s="23" t="inlineStr">
        <is>
          <t>150391</t>
        </is>
      </c>
      <c r="C159" s="23" t="inlineStr">
        <is>
          <t>—</t>
        </is>
      </c>
      <c r="D159" s="23" t="inlineStr">
        <is>
          <t>760187</t>
        </is>
      </c>
      <c r="E159" s="23" t="inlineStr">
        <is>
          <t>SPARE THERMOSTAT DRY COOLING</t>
        </is>
      </c>
      <c r="F159" s="24" t="n">
        <v>12.15</v>
      </c>
      <c r="G159" s="23" t="n">
        <v>1</v>
      </c>
      <c r="H159" s="23" t="inlineStr">
        <is>
          <t>—</t>
        </is>
      </c>
    </row>
    <row r="160">
      <c r="A160" s="23" t="n">
        <v>156</v>
      </c>
      <c r="B160" s="23" t="inlineStr">
        <is>
          <t>110455</t>
        </is>
      </c>
      <c r="C160" s="23" t="inlineStr">
        <is>
          <t>—</t>
        </is>
      </c>
      <c r="D160" s="23" t="inlineStr">
        <is>
          <t>760188</t>
        </is>
      </c>
      <c r="E160" s="23" t="inlineStr">
        <is>
          <t>SPARE BLUSODA TOP COVER</t>
        </is>
      </c>
      <c r="F160" s="24" t="n">
        <v>12.65</v>
      </c>
      <c r="G160" s="23" t="n">
        <v>1</v>
      </c>
      <c r="H160" s="23" t="inlineStr">
        <is>
          <t>—</t>
        </is>
      </c>
    </row>
    <row r="161">
      <c r="A161" s="23" t="n">
        <v>157</v>
      </c>
      <c r="B161" s="23" t="inlineStr">
        <is>
          <t>140090</t>
        </is>
      </c>
      <c r="C161" s="23" t="inlineStr">
        <is>
          <t>—</t>
        </is>
      </c>
      <c r="D161" s="23" t="inlineStr">
        <is>
          <t>760189</t>
        </is>
      </c>
      <c r="E161" s="23" t="inlineStr">
        <is>
          <t>SPARE N.10 PCS. RING NUT FOR SOLENOID VALVE M10x1 PDFE910Z06</t>
        </is>
      </c>
      <c r="F161" s="24" t="n">
        <v>12</v>
      </c>
      <c r="G161" s="23" t="n">
        <v>10</v>
      </c>
      <c r="H161" s="23" t="inlineStr">
        <is>
          <t>—</t>
        </is>
      </c>
    </row>
    <row r="162">
      <c r="A162" s="23" t="n">
        <v>158</v>
      </c>
      <c r="B162" s="23" t="inlineStr">
        <is>
          <t>140031</t>
        </is>
      </c>
      <c r="C162" s="23" t="inlineStr">
        <is>
          <t>—</t>
        </is>
      </c>
      <c r="D162" s="23" t="inlineStr">
        <is>
          <t>760190</t>
        </is>
      </c>
      <c r="E162" s="23" t="inlineStr">
        <is>
          <t>SPARE N.10 PCS. FEMALE CONNECTOR 8MM-BSP1/4"F PM450812E</t>
        </is>
      </c>
      <c r="F162" s="24" t="n">
        <v>23</v>
      </c>
      <c r="G162" s="23" t="n">
        <v>10</v>
      </c>
      <c r="H162" s="23" t="inlineStr">
        <is>
          <t>—</t>
        </is>
      </c>
    </row>
    <row r="163">
      <c r="A163" s="23" t="n">
        <v>159</v>
      </c>
      <c r="B163" s="23" t="inlineStr">
        <is>
          <t>150662</t>
        </is>
      </c>
      <c r="C163" s="23" t="inlineStr">
        <is>
          <t>—</t>
        </is>
      </c>
      <c r="D163" s="23" t="inlineStr">
        <is>
          <t>760191</t>
        </is>
      </c>
      <c r="E163" s="23" t="inlineStr">
        <is>
          <t>SPARE BLUSODA SOLENOID VALVE TD 3IN 1/4" - 1OUT 8MM W/BRACKET</t>
        </is>
      </c>
      <c r="F163" s="24" t="n">
        <v>33.7</v>
      </c>
      <c r="G163" s="23" t="n">
        <v>1</v>
      </c>
      <c r="H163" s="23" t="inlineStr">
        <is>
          <t>—</t>
        </is>
      </c>
    </row>
    <row r="164">
      <c r="A164" s="23" t="n">
        <v>160</v>
      </c>
      <c r="B164" s="23" t="inlineStr">
        <is>
          <t>160771</t>
        </is>
      </c>
      <c r="C164" s="23" t="inlineStr">
        <is>
          <t>—</t>
        </is>
      </c>
      <c r="D164" s="23" t="inlineStr">
        <is>
          <t>760192</t>
        </is>
      </c>
      <c r="E164" s="23" t="inlineStr">
        <is>
          <t>SPARE BLUSODA BLACK FIZZ LABEL</t>
        </is>
      </c>
      <c r="F164" s="24" t="n">
        <v>15.45</v>
      </c>
      <c r="G164" s="23" t="n">
        <v>1</v>
      </c>
      <c r="H164" s="23" t="inlineStr">
        <is>
          <t>—</t>
        </is>
      </c>
    </row>
    <row r="165">
      <c r="A165" s="23" t="n">
        <v>161</v>
      </c>
      <c r="B165" s="23" t="inlineStr">
        <is>
          <t>111138</t>
        </is>
      </c>
      <c r="C165" s="23" t="inlineStr">
        <is>
          <t>—</t>
        </is>
      </c>
      <c r="D165" s="23" t="inlineStr">
        <is>
          <t>760193</t>
        </is>
      </c>
      <c r="E165" s="23" t="inlineStr">
        <is>
          <t>SPARE BLUSODA BLACK SIDE PANEL</t>
        </is>
      </c>
      <c r="F165" s="24" t="n">
        <v>34.6</v>
      </c>
      <c r="G165" s="23" t="n">
        <v>1</v>
      </c>
      <c r="H165" s="23" t="inlineStr">
        <is>
          <t>—</t>
        </is>
      </c>
    </row>
    <row r="166">
      <c r="A166" s="23" t="n">
        <v>162</v>
      </c>
      <c r="B166" s="23" t="inlineStr">
        <is>
          <t>111139</t>
        </is>
      </c>
      <c r="C166" s="23" t="inlineStr">
        <is>
          <t>—</t>
        </is>
      </c>
      <c r="D166" s="23" t="inlineStr">
        <is>
          <t>760194</t>
        </is>
      </c>
      <c r="E166" s="23" t="inlineStr">
        <is>
          <t>SPARE BLUSODA BLACK TOP COVER</t>
        </is>
      </c>
      <c r="F166" s="24" t="n">
        <v>28.35</v>
      </c>
      <c r="G166" s="23" t="n">
        <v>1</v>
      </c>
      <c r="H166" s="23" t="inlineStr">
        <is>
          <t>—</t>
        </is>
      </c>
    </row>
    <row r="167">
      <c r="A167" s="23" t="n">
        <v>163</v>
      </c>
      <c r="B167" s="23" t="inlineStr">
        <is>
          <t>810154</t>
        </is>
      </c>
      <c r="C167" s="23" t="inlineStr">
        <is>
          <t>—</t>
        </is>
      </c>
      <c r="D167" s="23" t="inlineStr">
        <is>
          <t>760195</t>
        </is>
      </c>
      <c r="E167" s="23" t="inlineStr">
        <is>
          <t>SPARE STAINLESS STEEL PUSH BUTTON SPARKLING BLACK INCISION NO LIGHT</t>
        </is>
      </c>
      <c r="F167" s="24" t="n">
        <v>13</v>
      </c>
      <c r="G167" s="23" t="n">
        <v>1</v>
      </c>
      <c r="H167" s="23" t="inlineStr">
        <is>
          <t>—</t>
        </is>
      </c>
    </row>
    <row r="168">
      <c r="A168" s="23" t="n">
        <v>164</v>
      </c>
      <c r="B168" s="23" t="inlineStr">
        <is>
          <t>810155</t>
        </is>
      </c>
      <c r="C168" s="23" t="inlineStr">
        <is>
          <t>—</t>
        </is>
      </c>
      <c r="D168" s="23" t="inlineStr">
        <is>
          <t>760196</t>
        </is>
      </c>
      <c r="E168" s="23" t="inlineStr">
        <is>
          <t>SPARE STAINLESS STEEL PUSH BUTTON AMBIENT BLACK INCISION NO LIGHT</t>
        </is>
      </c>
      <c r="F168" s="24" t="n">
        <v>13</v>
      </c>
      <c r="G168" s="23" t="n">
        <v>1</v>
      </c>
      <c r="H168" s="23" t="inlineStr">
        <is>
          <t>—</t>
        </is>
      </c>
    </row>
    <row r="169">
      <c r="A169" s="23" t="n">
        <v>165</v>
      </c>
      <c r="B169" s="23" t="inlineStr">
        <is>
          <t>810156</t>
        </is>
      </c>
      <c r="C169" s="23" t="inlineStr">
        <is>
          <t>—</t>
        </is>
      </c>
      <c r="D169" s="23" t="inlineStr">
        <is>
          <t>760197</t>
        </is>
      </c>
      <c r="E169" s="23" t="inlineStr">
        <is>
          <t>SPARE STAINLESS STEEL PUSH BUTTON COLD BLACK INCISION NO LIGHT</t>
        </is>
      </c>
      <c r="F169" s="24" t="n">
        <v>13</v>
      </c>
      <c r="G169" s="23" t="n">
        <v>1</v>
      </c>
      <c r="H169" s="23" t="inlineStr">
        <is>
          <t>—</t>
        </is>
      </c>
    </row>
    <row r="170">
      <c r="A170" s="23" t="n">
        <v>166</v>
      </c>
      <c r="B170" s="23" t="inlineStr">
        <is>
          <t>810463</t>
        </is>
      </c>
      <c r="C170" s="23" t="inlineStr">
        <is>
          <t>—</t>
        </is>
      </c>
      <c r="D170" s="23" t="inlineStr">
        <is>
          <t>760198</t>
        </is>
      </c>
      <c r="E170" s="23" t="inlineStr">
        <is>
          <t>SPARE PREASSEMBLED BLUSODA BLACK FRONT PANEL</t>
        </is>
      </c>
      <c r="F170" s="24" t="n">
        <v>100.85</v>
      </c>
      <c r="G170" s="23" t="n">
        <v>1</v>
      </c>
      <c r="H170" s="23" t="inlineStr">
        <is>
          <t>—</t>
        </is>
      </c>
    </row>
    <row r="171">
      <c r="A171" s="23" t="n">
        <v>167</v>
      </c>
      <c r="B171" s="23" t="inlineStr">
        <is>
          <t>140411</t>
        </is>
      </c>
      <c r="C171" s="23" t="inlineStr">
        <is>
          <t>—</t>
        </is>
      </c>
      <c r="D171" s="23" t="inlineStr">
        <is>
          <t>760199</t>
        </is>
      </c>
      <c r="E171" s="23" t="inlineStr">
        <is>
          <t>SPARE 10M CLEAR PE TUBE D8MM</t>
        </is>
      </c>
      <c r="F171" s="24" t="n">
        <v>14.5</v>
      </c>
      <c r="G171" s="23" t="n">
        <v>1</v>
      </c>
      <c r="H171" s="23" t="inlineStr">
        <is>
          <t>—</t>
        </is>
      </c>
    </row>
    <row r="172">
      <c r="A172" s="23" t="n">
        <v>168</v>
      </c>
      <c r="B172" s="23" t="inlineStr">
        <is>
          <t>810296</t>
        </is>
      </c>
      <c r="C172" s="23" t="inlineStr">
        <is>
          <t>—</t>
        </is>
      </c>
      <c r="D172" s="23" t="inlineStr">
        <is>
          <t>760200</t>
        </is>
      </c>
      <c r="E172" s="23" t="inlineStr">
        <is>
          <t>SPARE ELKAY BOOSTER PUMP 115V</t>
        </is>
      </c>
      <c r="F172" s="24" t="n">
        <v>152.85</v>
      </c>
      <c r="G172" s="23" t="n">
        <v>1</v>
      </c>
      <c r="H172" s="23" t="inlineStr">
        <is>
          <t>—</t>
        </is>
      </c>
    </row>
    <row r="173">
      <c r="A173" s="23" t="n">
        <v>169</v>
      </c>
      <c r="B173" s="23" t="inlineStr">
        <is>
          <t>150586</t>
        </is>
      </c>
      <c r="C173" s="23" t="inlineStr">
        <is>
          <t>—</t>
        </is>
      </c>
      <c r="D173" s="23" t="inlineStr">
        <is>
          <t>760201</t>
        </is>
      </c>
      <c r="E173" s="23" t="inlineStr">
        <is>
          <t>SPARE WAVE / FONTEMAGNA IT ELECTRICAL BOX</t>
        </is>
      </c>
      <c r="F173" s="24" t="n">
        <v>86</v>
      </c>
      <c r="G173" s="23" t="n">
        <v>1</v>
      </c>
      <c r="H173" s="23" t="inlineStr">
        <is>
          <t>—</t>
        </is>
      </c>
    </row>
    <row r="174">
      <c r="A174" s="23" t="n">
        <v>170</v>
      </c>
      <c r="B174" s="23" t="inlineStr">
        <is>
          <t>150587</t>
        </is>
      </c>
      <c r="C174" s="23" t="inlineStr">
        <is>
          <t>—</t>
        </is>
      </c>
      <c r="D174" s="23" t="inlineStr">
        <is>
          <t>760202</t>
        </is>
      </c>
      <c r="E174" s="23" t="inlineStr">
        <is>
          <t>SPARE PUSH BUTTON INTERFACE</t>
        </is>
      </c>
      <c r="F174" s="24" t="n">
        <v>17.3</v>
      </c>
      <c r="G174" s="23" t="n">
        <v>1</v>
      </c>
      <c r="H174" s="23" t="inlineStr">
        <is>
          <t>—</t>
        </is>
      </c>
    </row>
    <row r="175">
      <c r="A175" s="23" t="n">
        <v>171</v>
      </c>
      <c r="B175" s="23" t="inlineStr">
        <is>
          <t>150034</t>
        </is>
      </c>
      <c r="C175" s="23" t="inlineStr">
        <is>
          <t>—</t>
        </is>
      </c>
      <c r="D175" s="23" t="inlineStr">
        <is>
          <t>760203</t>
        </is>
      </c>
      <c r="E175" s="23" t="inlineStr">
        <is>
          <t>SPARE VOLUMETRIC CONTROL</t>
        </is>
      </c>
      <c r="F175" s="24" t="n">
        <v>28.45</v>
      </c>
      <c r="G175" s="23" t="n">
        <v>1</v>
      </c>
      <c r="H175" s="23" t="inlineStr">
        <is>
          <t>—</t>
        </is>
      </c>
    </row>
    <row r="176">
      <c r="A176" s="23" t="n">
        <v>172</v>
      </c>
      <c r="B176" s="23" t="inlineStr">
        <is>
          <t>140109</t>
        </is>
      </c>
      <c r="C176" s="23" t="inlineStr">
        <is>
          <t>—</t>
        </is>
      </c>
      <c r="D176" s="23" t="inlineStr">
        <is>
          <t>760204</t>
        </is>
      </c>
      <c r="E176" s="23" t="inlineStr">
        <is>
          <t>SPARE N.10 PCS. REDUCING UNION CONNECTOR 8MM-6MM PM200806E</t>
        </is>
      </c>
      <c r="F176" s="24" t="n">
        <v>22</v>
      </c>
      <c r="G176" s="23" t="n">
        <v>10</v>
      </c>
      <c r="H176" s="23" t="inlineStr">
        <is>
          <t>—</t>
        </is>
      </c>
    </row>
    <row r="177">
      <c r="A177" s="23" t="n">
        <v>173</v>
      </c>
      <c r="B177" s="23" t="inlineStr">
        <is>
          <t>150388</t>
        </is>
      </c>
      <c r="C177" s="23" t="inlineStr">
        <is>
          <t>—</t>
        </is>
      </c>
      <c r="D177" s="23" t="inlineStr">
        <is>
          <t>760205</t>
        </is>
      </c>
      <c r="E177" s="23" t="inlineStr">
        <is>
          <t>SPARE VOLUMETRIC CONTROL 8</t>
        </is>
      </c>
      <c r="F177" s="24" t="n">
        <v>28.55</v>
      </c>
      <c r="G177" s="23" t="n">
        <v>1</v>
      </c>
      <c r="H177" s="6" t="inlineStr">
        <is>
          <t>BW-0292</t>
        </is>
      </c>
    </row>
    <row r="178">
      <c r="A178" s="23" t="n">
        <v>174</v>
      </c>
      <c r="B178" s="23" t="inlineStr">
        <is>
          <t>140251</t>
        </is>
      </c>
      <c r="C178" s="23" t="inlineStr">
        <is>
          <t>—</t>
        </is>
      </c>
      <c r="D178" s="23" t="inlineStr">
        <is>
          <t>760206</t>
        </is>
      </c>
      <c r="E178" s="23" t="inlineStr">
        <is>
          <t>SPARE N.10 PCS. CLEAR LED HOLDER</t>
        </is>
      </c>
      <c r="F178" s="24" t="n">
        <v>2.35</v>
      </c>
      <c r="G178" s="23" t="n">
        <v>10</v>
      </c>
      <c r="H178" s="6" t="inlineStr">
        <is>
          <t>BW-0383</t>
        </is>
      </c>
    </row>
    <row r="179">
      <c r="A179" s="23" t="n">
        <v>175</v>
      </c>
      <c r="B179" s="23" t="inlineStr">
        <is>
          <t>810668</t>
        </is>
      </c>
      <c r="C179" s="23" t="inlineStr">
        <is>
          <t>—</t>
        </is>
      </c>
      <c r="D179" s="23" t="inlineStr">
        <is>
          <t>760208</t>
        </is>
      </c>
      <c r="E179" s="23" t="inlineStr">
        <is>
          <t>SPARE BLUPURA FLOW REGULATOR D6</t>
        </is>
      </c>
      <c r="F179" s="24" t="n">
        <v>7.75</v>
      </c>
      <c r="G179" s="23" t="n">
        <v>1</v>
      </c>
      <c r="H179" s="23" t="inlineStr">
        <is>
          <t>—</t>
        </is>
      </c>
    </row>
    <row r="180">
      <c r="A180" s="23" t="n">
        <v>176</v>
      </c>
      <c r="B180" s="23" t="inlineStr">
        <is>
          <t>160341</t>
        </is>
      </c>
      <c r="C180" s="23" t="inlineStr">
        <is>
          <t>—</t>
        </is>
      </c>
      <c r="D180" s="23" t="inlineStr">
        <is>
          <t>760209</t>
        </is>
      </c>
      <c r="E180" s="23" t="inlineStr">
        <is>
          <t>SPARE WAVE LABEL PLUS MIX</t>
        </is>
      </c>
      <c r="F180" s="24" t="n">
        <v>3.4</v>
      </c>
      <c r="G180" s="23" t="n">
        <v>1</v>
      </c>
      <c r="H180" s="23" t="inlineStr">
        <is>
          <t>—</t>
        </is>
      </c>
    </row>
    <row r="181">
      <c r="A181" s="23" t="n">
        <v>177</v>
      </c>
      <c r="B181" s="23" t="inlineStr">
        <is>
          <t>150465</t>
        </is>
      </c>
      <c r="C181" s="23" t="inlineStr">
        <is>
          <t>—</t>
        </is>
      </c>
      <c r="D181" s="23" t="inlineStr">
        <is>
          <t>760210</t>
        </is>
      </c>
      <c r="E181" s="23" t="inlineStr">
        <is>
          <t>SPARE STAINLESS STEEL PUSH BUTTON BLUE LIGHT 3NO3NC</t>
        </is>
      </c>
      <c r="F181" s="24" t="n">
        <v>42.15</v>
      </c>
      <c r="G181" s="23" t="n">
        <v>1</v>
      </c>
      <c r="H181" s="23" t="inlineStr">
        <is>
          <t>—</t>
        </is>
      </c>
    </row>
    <row r="182">
      <c r="A182" s="23" t="n">
        <v>178</v>
      </c>
      <c r="B182" s="23" t="inlineStr">
        <is>
          <t>150689</t>
        </is>
      </c>
      <c r="C182" s="23" t="inlineStr">
        <is>
          <t>—</t>
        </is>
      </c>
      <c r="D182" s="23" t="inlineStr">
        <is>
          <t>760211</t>
        </is>
      </c>
      <c r="E182" s="23" t="inlineStr">
        <is>
          <t>SPARE BLUSODA TOUCH FREE IR ELECTRONIC BOARD</t>
        </is>
      </c>
      <c r="F182" s="24" t="n">
        <v>70.65000000000001</v>
      </c>
      <c r="G182" s="23" t="n">
        <v>1</v>
      </c>
      <c r="H182" s="23" t="inlineStr">
        <is>
          <t>—</t>
        </is>
      </c>
    </row>
    <row r="183">
      <c r="A183" s="23" t="n">
        <v>179</v>
      </c>
      <c r="B183" s="23" t="inlineStr">
        <is>
          <t>—</t>
        </is>
      </c>
      <c r="C183" s="23" t="inlineStr">
        <is>
          <t>750235</t>
        </is>
      </c>
      <c r="D183" s="23" t="inlineStr">
        <is>
          <t>760212</t>
        </is>
      </c>
      <c r="E183" s="23" t="inlineStr">
        <is>
          <t>SPARE BLUSODA TOUCH FREE FIZZ SENSOR KEYPAD</t>
        </is>
      </c>
      <c r="F183" s="24" t="n">
        <v>90.15000000000001</v>
      </c>
      <c r="G183" s="23" t="n">
        <v>1</v>
      </c>
      <c r="H183" s="23" t="inlineStr">
        <is>
          <t>—</t>
        </is>
      </c>
    </row>
    <row r="184">
      <c r="A184" s="23" t="n">
        <v>180</v>
      </c>
      <c r="B184" s="23" t="inlineStr">
        <is>
          <t>—</t>
        </is>
      </c>
      <c r="C184" s="23" t="inlineStr">
        <is>
          <t>750247</t>
        </is>
      </c>
      <c r="D184" s="23" t="inlineStr">
        <is>
          <t>760213</t>
        </is>
      </c>
      <c r="E184" s="23" t="inlineStr">
        <is>
          <t>SPARE BLUSODA TOUCH FREE FIZZ FRONT PANEL</t>
        </is>
      </c>
      <c r="F184" s="24" t="n">
        <v>143.4</v>
      </c>
      <c r="G184" s="23" t="n">
        <v>1</v>
      </c>
      <c r="H184" s="23" t="inlineStr">
        <is>
          <t>—</t>
        </is>
      </c>
    </row>
    <row r="185">
      <c r="A185" s="23" t="n">
        <v>181</v>
      </c>
      <c r="B185" s="23" t="inlineStr">
        <is>
          <t>110519</t>
        </is>
      </c>
      <c r="C185" s="23" t="inlineStr">
        <is>
          <t>—</t>
        </is>
      </c>
      <c r="D185" s="23" t="inlineStr">
        <is>
          <t>760215</t>
        </is>
      </c>
      <c r="E185" s="23" t="inlineStr">
        <is>
          <t>SPARE BLUSODA BOX LEFT SIDE PANEL</t>
        </is>
      </c>
      <c r="F185" s="24" t="n">
        <v>32.55</v>
      </c>
      <c r="G185" s="23" t="n">
        <v>1</v>
      </c>
      <c r="H185" s="23" t="inlineStr">
        <is>
          <t>—</t>
        </is>
      </c>
    </row>
    <row r="186">
      <c r="A186" s="23" t="n">
        <v>182</v>
      </c>
      <c r="B186" s="23" t="inlineStr">
        <is>
          <t>110518</t>
        </is>
      </c>
      <c r="C186" s="23" t="inlineStr">
        <is>
          <t>—</t>
        </is>
      </c>
      <c r="D186" s="23" t="inlineStr">
        <is>
          <t>760216</t>
        </is>
      </c>
      <c r="E186" s="23" t="inlineStr">
        <is>
          <t>SPARE BLUSODA BOX RIGHT SIDE PANEL</t>
        </is>
      </c>
      <c r="F186" s="24" t="n">
        <v>32.55</v>
      </c>
      <c r="G186" s="23" t="n">
        <v>1</v>
      </c>
      <c r="H186" s="23" t="inlineStr">
        <is>
          <t>—</t>
        </is>
      </c>
    </row>
    <row r="187">
      <c r="A187" s="23" t="n">
        <v>183</v>
      </c>
      <c r="B187" s="23" t="inlineStr">
        <is>
          <t>150072</t>
        </is>
      </c>
      <c r="C187" s="23" t="inlineStr">
        <is>
          <t>—</t>
        </is>
      </c>
      <c r="D187" s="23" t="inlineStr">
        <is>
          <t>760217</t>
        </is>
      </c>
      <c r="E187" s="23" t="inlineStr">
        <is>
          <t>SPARE MAIN POWER SWITCH GREEN LIGHT</t>
        </is>
      </c>
      <c r="F187" s="24" t="n">
        <v>4.1</v>
      </c>
      <c r="G187" s="23" t="n">
        <v>1</v>
      </c>
      <c r="H187" s="6" t="inlineStr">
        <is>
          <t>BW-0426</t>
        </is>
      </c>
    </row>
    <row r="188">
      <c r="A188" s="23" t="n">
        <v>184</v>
      </c>
      <c r="B188" s="23" t="inlineStr">
        <is>
          <t>810670</t>
        </is>
      </c>
      <c r="C188" s="23" t="inlineStr">
        <is>
          <t>—</t>
        </is>
      </c>
      <c r="D188" s="23" t="inlineStr">
        <is>
          <t>760218</t>
        </is>
      </c>
      <c r="E188" s="23" t="inlineStr">
        <is>
          <t>SPARE BLUPURA FLOW REGULATOR 1/4"</t>
        </is>
      </c>
      <c r="F188" s="24" t="n">
        <v>7.75</v>
      </c>
      <c r="G188" s="23" t="n">
        <v>1</v>
      </c>
      <c r="H188" s="23" t="inlineStr">
        <is>
          <t>—</t>
        </is>
      </c>
    </row>
    <row r="189">
      <c r="A189" s="23" t="n">
        <v>185</v>
      </c>
      <c r="B189" s="23" t="inlineStr">
        <is>
          <t>140561</t>
        </is>
      </c>
      <c r="C189" s="23" t="inlineStr">
        <is>
          <t>—</t>
        </is>
      </c>
      <c r="D189" s="23" t="inlineStr">
        <is>
          <t>760219</t>
        </is>
      </c>
      <c r="E189" s="23" t="inlineStr">
        <is>
          <t>SPARE PICCOLA BLACK LEFT PANEL</t>
        </is>
      </c>
      <c r="F189" s="24" t="n">
        <v>25.75</v>
      </c>
      <c r="G189" s="23" t="n">
        <v>1</v>
      </c>
      <c r="H189" s="6" t="inlineStr">
        <is>
          <t>BW-0435</t>
        </is>
      </c>
    </row>
    <row r="190">
      <c r="A190" s="23" t="n">
        <v>186</v>
      </c>
      <c r="B190" s="23" t="inlineStr">
        <is>
          <t>140562</t>
        </is>
      </c>
      <c r="C190" s="23" t="inlineStr">
        <is>
          <t>—</t>
        </is>
      </c>
      <c r="D190" s="23" t="inlineStr">
        <is>
          <t>760220</t>
        </is>
      </c>
      <c r="E190" s="23" t="inlineStr">
        <is>
          <t>SPARE PICCOLA BLACK RIGHT PANEL</t>
        </is>
      </c>
      <c r="F190" s="24" t="n">
        <v>25.75</v>
      </c>
      <c r="G190" s="23" t="n">
        <v>1</v>
      </c>
      <c r="H190" s="6" t="inlineStr">
        <is>
          <t>BW-0440</t>
        </is>
      </c>
    </row>
    <row r="191">
      <c r="A191" s="23" t="n">
        <v>187</v>
      </c>
      <c r="B191" s="23" t="inlineStr">
        <is>
          <t>110954</t>
        </is>
      </c>
      <c r="C191" s="23" t="inlineStr">
        <is>
          <t>—</t>
        </is>
      </c>
      <c r="D191" s="23" t="inlineStr">
        <is>
          <t>760221</t>
        </is>
      </c>
      <c r="E191" s="23" t="inlineStr">
        <is>
          <t>SPARE PICCOLA BOX 15 TOP COVER</t>
        </is>
      </c>
      <c r="F191" s="24" t="n">
        <v>14.85</v>
      </c>
      <c r="G191" s="23" t="n">
        <v>1</v>
      </c>
      <c r="H191" s="6" t="inlineStr">
        <is>
          <t>BW-0436</t>
        </is>
      </c>
    </row>
    <row r="192">
      <c r="A192" s="23" t="n">
        <v>188</v>
      </c>
      <c r="B192" s="23" t="inlineStr">
        <is>
          <t>150665</t>
        </is>
      </c>
      <c r="C192" s="23" t="inlineStr">
        <is>
          <t>750265</t>
        </is>
      </c>
      <c r="D192" s="23" t="inlineStr">
        <is>
          <t>760222</t>
        </is>
      </c>
      <c r="E192" s="23" t="inlineStr">
        <is>
          <t>SPARE SOLENOID VALVE TD 1IN 1/4" - 1OUT 1/4" 24VAC</t>
        </is>
      </c>
      <c r="F192" s="24" t="n">
        <v>19.15</v>
      </c>
      <c r="G192" s="23" t="n">
        <v>1</v>
      </c>
      <c r="H192" s="23" t="inlineStr">
        <is>
          <t>—</t>
        </is>
      </c>
    </row>
    <row r="193">
      <c r="A193" s="23" t="n">
        <v>189</v>
      </c>
      <c r="B193" s="23" t="inlineStr">
        <is>
          <t>160746</t>
        </is>
      </c>
      <c r="C193" s="23" t="inlineStr">
        <is>
          <t>—</t>
        </is>
      </c>
      <c r="D193" s="23" t="inlineStr">
        <is>
          <t>760224</t>
        </is>
      </c>
      <c r="E193" s="23" t="inlineStr">
        <is>
          <t>SPARE HYDRAZON NEW LEXAN LABEL AMBIENT AND COLD</t>
        </is>
      </c>
      <c r="F193" s="24" t="n">
        <v>5.75</v>
      </c>
      <c r="G193" s="23" t="n">
        <v>1</v>
      </c>
      <c r="H193" s="23" t="inlineStr">
        <is>
          <t>—</t>
        </is>
      </c>
    </row>
    <row r="194">
      <c r="A194" s="23" t="n">
        <v>190</v>
      </c>
      <c r="B194" s="23" t="inlineStr">
        <is>
          <t>140304</t>
        </is>
      </c>
      <c r="C194" s="23" t="inlineStr">
        <is>
          <t>—</t>
        </is>
      </c>
      <c r="D194" s="23" t="inlineStr">
        <is>
          <t>760225</t>
        </is>
      </c>
      <c r="E194" s="23" t="inlineStr">
        <is>
          <t>SPARE N.10 PCS. UNION CONNECTOR 1/4" PI0408S</t>
        </is>
      </c>
      <c r="F194" s="24" t="n">
        <v>12.5</v>
      </c>
      <c r="G194" s="23" t="n">
        <v>10</v>
      </c>
      <c r="H194" s="23" t="inlineStr">
        <is>
          <t>—</t>
        </is>
      </c>
    </row>
    <row r="195">
      <c r="A195" s="23" t="n">
        <v>191</v>
      </c>
      <c r="B195" s="23" t="inlineStr">
        <is>
          <t>140430</t>
        </is>
      </c>
      <c r="C195" s="23" t="inlineStr">
        <is>
          <t>—</t>
        </is>
      </c>
      <c r="D195" s="23" t="inlineStr">
        <is>
          <t>760226</t>
        </is>
      </c>
      <c r="E195" s="23" t="inlineStr">
        <is>
          <t>SPARE N. 10 PCS. FEMALE TUBE CAP D8MM</t>
        </is>
      </c>
      <c r="F195" s="24" t="n">
        <v>13</v>
      </c>
      <c r="G195" s="23" t="n">
        <v>10</v>
      </c>
      <c r="H195" s="23" t="inlineStr">
        <is>
          <t>—</t>
        </is>
      </c>
    </row>
    <row r="196">
      <c r="A196" s="23" t="n">
        <v>192</v>
      </c>
      <c r="B196" s="23" t="inlineStr">
        <is>
          <t>130261</t>
        </is>
      </c>
      <c r="C196" s="23" t="inlineStr">
        <is>
          <t>—</t>
        </is>
      </c>
      <c r="D196" s="23" t="inlineStr">
        <is>
          <t>760227</t>
        </is>
      </c>
      <c r="E196" s="23" t="inlineStr">
        <is>
          <t>SPARE CARBONATOR BOWL 0,5L D63 OR. 1,25 G-480123</t>
        </is>
      </c>
      <c r="F196" s="24" t="n">
        <v>66</v>
      </c>
      <c r="G196" s="23" t="n">
        <v>1</v>
      </c>
      <c r="H196" s="23" t="inlineStr">
        <is>
          <t>—</t>
        </is>
      </c>
    </row>
    <row r="197">
      <c r="A197" s="23" t="n">
        <v>193</v>
      </c>
      <c r="B197" s="23" t="inlineStr">
        <is>
          <t>130268</t>
        </is>
      </c>
      <c r="C197" s="23" t="inlineStr">
        <is>
          <t>—</t>
        </is>
      </c>
      <c r="D197" s="23" t="inlineStr">
        <is>
          <t>760228</t>
        </is>
      </c>
      <c r="E197" s="23" t="inlineStr">
        <is>
          <t>SPARE STAINLESS STEEL FOOT D50/H150MM W/PIVOT M10</t>
        </is>
      </c>
      <c r="F197" s="24" t="n">
        <v>46.5</v>
      </c>
      <c r="G197" s="23" t="n">
        <v>1</v>
      </c>
      <c r="H197" s="23" t="inlineStr">
        <is>
          <t>—</t>
        </is>
      </c>
    </row>
    <row r="198">
      <c r="A198" s="23" t="n">
        <v>194</v>
      </c>
      <c r="B198" s="23" t="inlineStr">
        <is>
          <t>140378</t>
        </is>
      </c>
      <c r="C198" s="23" t="inlineStr">
        <is>
          <t>—</t>
        </is>
      </c>
      <c r="D198" s="23" t="inlineStr">
        <is>
          <t>760229</t>
        </is>
      </c>
      <c r="E198" s="23" t="inlineStr">
        <is>
          <t>SPARE BCC THERMOFORMED DISPENSING AREA W/DRAIN</t>
        </is>
      </c>
      <c r="F198" s="24" t="n">
        <v>36.65</v>
      </c>
      <c r="G198" s="23" t="n">
        <v>1</v>
      </c>
      <c r="H198" s="23" t="inlineStr">
        <is>
          <t>—</t>
        </is>
      </c>
    </row>
    <row r="199">
      <c r="A199" s="23" t="n">
        <v>195</v>
      </c>
      <c r="B199" s="23" t="inlineStr">
        <is>
          <t>150068</t>
        </is>
      </c>
      <c r="C199" s="23" t="inlineStr">
        <is>
          <t>—</t>
        </is>
      </c>
      <c r="D199" s="23" t="inlineStr">
        <is>
          <t>760230</t>
        </is>
      </c>
      <c r="E199" s="23" t="inlineStr">
        <is>
          <t>SPARE WAVE / EC QUARTZ UVC OUT 4W 79x61MM</t>
        </is>
      </c>
      <c r="F199" s="24" t="n">
        <v>49.5</v>
      </c>
      <c r="G199" s="23" t="n">
        <v>1</v>
      </c>
      <c r="H199" s="6" t="inlineStr">
        <is>
          <t>BW-0190</t>
        </is>
      </c>
    </row>
    <row r="200">
      <c r="A200" s="23" t="n">
        <v>196</v>
      </c>
      <c r="B200" s="23" t="inlineStr">
        <is>
          <t>150460</t>
        </is>
      </c>
      <c r="C200" s="23" t="inlineStr">
        <is>
          <t>—</t>
        </is>
      </c>
      <c r="D200" s="23" t="inlineStr">
        <is>
          <t>760231</t>
        </is>
      </c>
      <c r="E200" s="23" t="inlineStr">
        <is>
          <t>SPARE LED POWER SUPPLY 12W 12V 1A UL</t>
        </is>
      </c>
      <c r="F200" s="24" t="n">
        <v>12</v>
      </c>
      <c r="G200" s="23" t="n">
        <v>1</v>
      </c>
      <c r="H200" s="23" t="inlineStr">
        <is>
          <t>—</t>
        </is>
      </c>
    </row>
    <row r="201">
      <c r="A201" s="23" t="n">
        <v>197</v>
      </c>
      <c r="B201" s="23" t="inlineStr">
        <is>
          <t>—</t>
        </is>
      </c>
      <c r="C201" s="23" t="inlineStr">
        <is>
          <t>750117</t>
        </is>
      </c>
      <c r="D201" s="23" t="inlineStr">
        <is>
          <t>760232</t>
        </is>
      </c>
      <c r="E201" s="23" t="inlineStr">
        <is>
          <t>SPARE BCC DISPLAY</t>
        </is>
      </c>
      <c r="F201" s="24" t="n">
        <v>103.1</v>
      </c>
      <c r="G201" s="23" t="n">
        <v>1</v>
      </c>
      <c r="H201" s="23" t="inlineStr">
        <is>
          <t>—</t>
        </is>
      </c>
    </row>
    <row r="202">
      <c r="A202" s="23" t="n">
        <v>198</v>
      </c>
      <c r="B202" s="23" t="inlineStr">
        <is>
          <t>810760</t>
        </is>
      </c>
      <c r="C202" s="23" t="inlineStr">
        <is>
          <t>—</t>
        </is>
      </c>
      <c r="D202" s="23" t="inlineStr">
        <is>
          <t>760233</t>
        </is>
      </c>
      <c r="E202" s="23" t="inlineStr">
        <is>
          <t>SPARE IMMERSION PUMP 60HZ W/CONNECTOR P/B</t>
        </is>
      </c>
      <c r="F202" s="24" t="n">
        <v>16.6</v>
      </c>
      <c r="G202" s="23" t="n">
        <v>1</v>
      </c>
      <c r="H202" s="23" t="inlineStr">
        <is>
          <t>—</t>
        </is>
      </c>
    </row>
    <row r="203">
      <c r="A203" s="23" t="n">
        <v>199</v>
      </c>
      <c r="B203" s="23" t="inlineStr">
        <is>
          <t>130255</t>
        </is>
      </c>
      <c r="C203" s="23" t="inlineStr">
        <is>
          <t>—</t>
        </is>
      </c>
      <c r="D203" s="23" t="inlineStr">
        <is>
          <t>760235</t>
        </is>
      </c>
      <c r="E203" s="23" t="inlineStr">
        <is>
          <t>SPARE WATER PRESSURE REDUCER 3BAR IN/OUT 8MM</t>
        </is>
      </c>
      <c r="F203" s="24" t="n">
        <v>34</v>
      </c>
      <c r="G203" s="23" t="n">
        <v>1</v>
      </c>
      <c r="H203" s="23" t="inlineStr">
        <is>
          <t>—</t>
        </is>
      </c>
    </row>
    <row r="204">
      <c r="A204" s="23" t="n">
        <v>200</v>
      </c>
      <c r="B204" s="23" t="inlineStr">
        <is>
          <t>150069</t>
        </is>
      </c>
      <c r="C204" s="23" t="inlineStr">
        <is>
          <t>—</t>
        </is>
      </c>
      <c r="D204" s="23" t="inlineStr">
        <is>
          <t>760238</t>
        </is>
      </c>
      <c r="E204" s="23" t="inlineStr">
        <is>
          <t>SPARE SOLENOID VALVE  IN 3/4"M - OUT 8MM 24VAC</t>
        </is>
      </c>
      <c r="F204" s="24" t="n">
        <v>15.55</v>
      </c>
      <c r="G204" s="23" t="n">
        <v>1</v>
      </c>
      <c r="H204" s="23" t="inlineStr">
        <is>
          <t>—</t>
        </is>
      </c>
    </row>
    <row r="205">
      <c r="A205" s="23" t="n">
        <v>201</v>
      </c>
      <c r="B205" s="23" t="inlineStr">
        <is>
          <t>130007</t>
        </is>
      </c>
      <c r="C205" s="23" t="inlineStr">
        <is>
          <t>—</t>
        </is>
      </c>
      <c r="D205" s="23" t="inlineStr">
        <is>
          <t>760239</t>
        </is>
      </c>
      <c r="E205" s="23" t="inlineStr">
        <is>
          <t>SPARE FONTEMAGNA LOCK W/N.2 KEYS</t>
        </is>
      </c>
      <c r="F205" s="24" t="n">
        <v>7.85</v>
      </c>
      <c r="G205" s="23" t="n">
        <v>1</v>
      </c>
      <c r="H205" s="23" t="inlineStr">
        <is>
          <t>—</t>
        </is>
      </c>
    </row>
    <row r="206">
      <c r="A206" s="23" t="n">
        <v>202</v>
      </c>
      <c r="B206" s="23" t="inlineStr">
        <is>
          <t>111531</t>
        </is>
      </c>
      <c r="C206" s="23" t="inlineStr">
        <is>
          <t>—</t>
        </is>
      </c>
      <c r="D206" s="23" t="inlineStr">
        <is>
          <t>760240</t>
        </is>
      </c>
      <c r="E206" s="23" t="inlineStr">
        <is>
          <t>SPARE BCC MSC DRIP TRAY GRILL</t>
        </is>
      </c>
      <c r="F206" s="24" t="n">
        <v>18.8</v>
      </c>
      <c r="G206" s="23" t="n">
        <v>1</v>
      </c>
      <c r="H206" s="23" t="inlineStr">
        <is>
          <t>—</t>
        </is>
      </c>
    </row>
    <row r="207">
      <c r="A207" s="23" t="n">
        <v>203</v>
      </c>
      <c r="B207" s="23" t="inlineStr">
        <is>
          <t>810620</t>
        </is>
      </c>
      <c r="C207" s="23" t="inlineStr">
        <is>
          <t>—</t>
        </is>
      </c>
      <c r="D207" s="23" t="inlineStr">
        <is>
          <t>760241</t>
        </is>
      </c>
      <c r="E207" s="23" t="inlineStr">
        <is>
          <t>SPARE N. 3 PCS. SCREEN-PRINTED TOUCHLESS SENSOR W/CALIBRATION</t>
        </is>
      </c>
      <c r="F207" s="24" t="n">
        <v>70</v>
      </c>
      <c r="G207" s="23" t="n">
        <v>3</v>
      </c>
      <c r="H207" s="6" t="inlineStr">
        <is>
          <t>BW-0294</t>
        </is>
      </c>
    </row>
    <row r="208">
      <c r="A208" s="23" t="n">
        <v>204</v>
      </c>
      <c r="B208" s="23" t="inlineStr">
        <is>
          <t>140548</t>
        </is>
      </c>
      <c r="C208" s="23" t="inlineStr">
        <is>
          <t>—</t>
        </is>
      </c>
      <c r="D208" s="23" t="inlineStr">
        <is>
          <t>760242</t>
        </is>
      </c>
      <c r="E208" s="23" t="inlineStr">
        <is>
          <t>SPARE N.10 PCS. CHECK VALVE D6MM HCVU0606B</t>
        </is>
      </c>
      <c r="F208" s="24" t="n">
        <v>102</v>
      </c>
      <c r="G208" s="23" t="n">
        <v>10</v>
      </c>
      <c r="H208" s="23" t="inlineStr">
        <is>
          <t>—</t>
        </is>
      </c>
    </row>
    <row r="209">
      <c r="A209" s="23" t="n">
        <v>205</v>
      </c>
      <c r="B209" s="23" t="inlineStr">
        <is>
          <t>140374</t>
        </is>
      </c>
      <c r="C209" s="23" t="inlineStr">
        <is>
          <t>—</t>
        </is>
      </c>
      <c r="D209" s="23" t="inlineStr">
        <is>
          <t>760243</t>
        </is>
      </c>
      <c r="E209" s="23" t="inlineStr">
        <is>
          <t>SPARE N.4 PCS. FOOT D15/H6MM W/RIVET</t>
        </is>
      </c>
      <c r="F209" s="24" t="n">
        <v>3.8</v>
      </c>
      <c r="G209" s="23" t="n">
        <v>4</v>
      </c>
      <c r="H209" s="23" t="inlineStr">
        <is>
          <t>—</t>
        </is>
      </c>
    </row>
    <row r="210">
      <c r="A210" s="23" t="n">
        <v>206</v>
      </c>
      <c r="B210" s="23" t="inlineStr">
        <is>
          <t>110757</t>
        </is>
      </c>
      <c r="C210" s="23" t="inlineStr">
        <is>
          <t>—</t>
        </is>
      </c>
      <c r="D210" s="23" t="inlineStr">
        <is>
          <t>760244</t>
        </is>
      </c>
      <c r="E210" s="23" t="inlineStr">
        <is>
          <t>SPARE BCC FIZZ DRIP TRAY GRILL</t>
        </is>
      </c>
      <c r="F210" s="24" t="n">
        <v>13.8</v>
      </c>
      <c r="G210" s="23" t="n">
        <v>1</v>
      </c>
      <c r="H210" s="23" t="inlineStr">
        <is>
          <t>—</t>
        </is>
      </c>
    </row>
    <row r="211">
      <c r="A211" s="23" t="n">
        <v>207</v>
      </c>
      <c r="B211" s="23" t="inlineStr">
        <is>
          <t>—</t>
        </is>
      </c>
      <c r="C211" s="23" t="inlineStr">
        <is>
          <t>750293</t>
        </is>
      </c>
      <c r="D211" s="23" t="inlineStr">
        <is>
          <t>760245</t>
        </is>
      </c>
      <c r="E211" s="23" t="inlineStr">
        <is>
          <t>SPARE NFC READER</t>
        </is>
      </c>
      <c r="F211" s="24" t="n">
        <v>65.2</v>
      </c>
      <c r="G211" s="23" t="n">
        <v>1</v>
      </c>
      <c r="H211" s="23" t="inlineStr">
        <is>
          <t>—</t>
        </is>
      </c>
    </row>
    <row r="212">
      <c r="A212" s="23" t="n">
        <v>208</v>
      </c>
      <c r="B212" s="23" t="inlineStr">
        <is>
          <t>150842</t>
        </is>
      </c>
      <c r="C212" s="23" t="inlineStr">
        <is>
          <t>—</t>
        </is>
      </c>
      <c r="D212" s="23" t="inlineStr">
        <is>
          <t>760246</t>
        </is>
      </c>
      <c r="E212" s="23" t="inlineStr">
        <is>
          <t>SPARE BCC ENEL 10.1 DISPLAY</t>
        </is>
      </c>
      <c r="F212" s="24" t="n">
        <v>113.3</v>
      </c>
      <c r="G212" s="23" t="n">
        <v>1</v>
      </c>
      <c r="H212" s="23" t="inlineStr">
        <is>
          <t>—</t>
        </is>
      </c>
    </row>
    <row r="213">
      <c r="A213" s="23" t="n">
        <v>209</v>
      </c>
      <c r="B213" s="23" t="inlineStr">
        <is>
          <t>150841</t>
        </is>
      </c>
      <c r="C213" s="23" t="inlineStr">
        <is>
          <t>—</t>
        </is>
      </c>
      <c r="D213" s="23" t="inlineStr">
        <is>
          <t>760247</t>
        </is>
      </c>
      <c r="E213" s="23" t="inlineStr">
        <is>
          <t>SPARE BCC ENEL DTOUCH2-D2 PC BOARD</t>
        </is>
      </c>
      <c r="F213" s="24" t="n">
        <v>581.3</v>
      </c>
      <c r="G213" s="23" t="n">
        <v>1</v>
      </c>
      <c r="H213" s="23" t="inlineStr">
        <is>
          <t>—</t>
        </is>
      </c>
    </row>
    <row r="214">
      <c r="A214" s="23" t="n">
        <v>210</v>
      </c>
      <c r="B214" s="23" t="inlineStr">
        <is>
          <t>120140</t>
        </is>
      </c>
      <c r="C214" s="23" t="inlineStr">
        <is>
          <t>—</t>
        </is>
      </c>
      <c r="D214" s="23" t="inlineStr">
        <is>
          <t>760248</t>
        </is>
      </c>
      <c r="E214" s="23" t="inlineStr">
        <is>
          <t>SPARE 3 WAY WAVE STAINLESS STEEL OUTLET TUBE</t>
        </is>
      </c>
      <c r="F214" s="24" t="n">
        <v>14.95</v>
      </c>
      <c r="G214" s="23" t="n">
        <v>1</v>
      </c>
      <c r="H214" s="23" t="inlineStr">
        <is>
          <t>—</t>
        </is>
      </c>
    </row>
    <row r="215">
      <c r="A215" s="23" t="n">
        <v>211</v>
      </c>
      <c r="B215" s="23" t="inlineStr">
        <is>
          <t>810320</t>
        </is>
      </c>
      <c r="C215" s="23" t="inlineStr">
        <is>
          <t>—</t>
        </is>
      </c>
      <c r="D215" s="23" t="inlineStr">
        <is>
          <t>760253</t>
        </is>
      </c>
      <c r="E215" s="23" t="inlineStr">
        <is>
          <t>SPARE IMMERSION PURE PUMP 170 230V W/CONNECTOR</t>
        </is>
      </c>
      <c r="F215" s="24" t="n">
        <v>11.55</v>
      </c>
      <c r="G215" s="23" t="n">
        <v>1</v>
      </c>
      <c r="H215" s="6" t="inlineStr">
        <is>
          <t>BW-0183</t>
        </is>
      </c>
    </row>
    <row r="216">
      <c r="A216" s="23" t="n">
        <v>212</v>
      </c>
      <c r="B216" s="23" t="inlineStr">
        <is>
          <t>150860</t>
        </is>
      </c>
      <c r="C216" s="23" t="inlineStr">
        <is>
          <t>—</t>
        </is>
      </c>
      <c r="D216" s="23" t="inlineStr">
        <is>
          <t>760254</t>
        </is>
      </c>
      <c r="E216" s="23" t="inlineStr">
        <is>
          <t>SPARE OZONE GENERATOR</t>
        </is>
      </c>
      <c r="F216" s="24" t="n">
        <v>37.1</v>
      </c>
      <c r="G216" s="23" t="n">
        <v>1</v>
      </c>
      <c r="H216" s="23" t="inlineStr">
        <is>
          <t>—</t>
        </is>
      </c>
    </row>
    <row r="217">
      <c r="A217" s="23" t="n">
        <v>213</v>
      </c>
      <c r="B217" s="23" t="inlineStr">
        <is>
          <t>150859</t>
        </is>
      </c>
      <c r="C217" s="23" t="inlineStr">
        <is>
          <t>—</t>
        </is>
      </c>
      <c r="D217" s="23" t="inlineStr">
        <is>
          <t>760255</t>
        </is>
      </c>
      <c r="E217" s="23" t="inlineStr">
        <is>
          <t>SPARE PUMP FOR OZONE GENERATOR</t>
        </is>
      </c>
      <c r="F217" s="24" t="n">
        <v>9.699999999999999</v>
      </c>
      <c r="G217" s="23" t="n">
        <v>1</v>
      </c>
      <c r="H217" s="23" t="inlineStr">
        <is>
          <t>—</t>
        </is>
      </c>
    </row>
    <row r="218">
      <c r="A218" s="23" t="n">
        <v>214</v>
      </c>
      <c r="B218" s="23" t="inlineStr">
        <is>
          <t>150885</t>
        </is>
      </c>
      <c r="C218" s="23" t="inlineStr">
        <is>
          <t>—</t>
        </is>
      </c>
      <c r="D218" s="23" t="inlineStr">
        <is>
          <t>760256</t>
        </is>
      </c>
      <c r="E218" s="23" t="inlineStr">
        <is>
          <t>SPARE POWER SUPPLY 12V DC 2,1A</t>
        </is>
      </c>
      <c r="F218" s="24" t="n">
        <v>26.9</v>
      </c>
      <c r="G218" s="23" t="n">
        <v>1</v>
      </c>
      <c r="H218" s="23" t="inlineStr">
        <is>
          <t>—</t>
        </is>
      </c>
    </row>
    <row r="219">
      <c r="A219" s="23" t="n">
        <v>215</v>
      </c>
      <c r="B219" s="23" t="inlineStr">
        <is>
          <t>150663</t>
        </is>
      </c>
      <c r="C219" s="23" t="inlineStr">
        <is>
          <t>—</t>
        </is>
      </c>
      <c r="D219" s="23" t="inlineStr">
        <is>
          <t>760257</t>
        </is>
      </c>
      <c r="E219" s="23" t="inlineStr">
        <is>
          <t>SPARE SOLENOID VALVE TD 2IN 1/4" - 1OUT 5/16"</t>
        </is>
      </c>
      <c r="F219" s="24" t="n">
        <v>25.25</v>
      </c>
      <c r="G219" s="23" t="n">
        <v>1</v>
      </c>
      <c r="H219" s="23" t="inlineStr">
        <is>
          <t>—</t>
        </is>
      </c>
    </row>
    <row r="220">
      <c r="A220" s="23" t="n">
        <v>216</v>
      </c>
      <c r="B220" s="23" t="inlineStr">
        <is>
          <t>150840</t>
        </is>
      </c>
      <c r="C220" s="23" t="inlineStr">
        <is>
          <t>—</t>
        </is>
      </c>
      <c r="D220" s="23" t="inlineStr">
        <is>
          <t>760258</t>
        </is>
      </c>
      <c r="E220" s="23" t="inlineStr">
        <is>
          <t>SPARE BCC ENEL ELECTRIC BOX</t>
        </is>
      </c>
      <c r="F220" s="24" t="n">
        <v>77.45</v>
      </c>
      <c r="G220" s="23" t="n">
        <v>1</v>
      </c>
      <c r="H220" s="23" t="inlineStr">
        <is>
          <t>—</t>
        </is>
      </c>
    </row>
    <row r="221">
      <c r="A221" s="23" t="n">
        <v>217</v>
      </c>
      <c r="B221" s="23" t="inlineStr">
        <is>
          <t>150874</t>
        </is>
      </c>
      <c r="C221" s="23" t="inlineStr">
        <is>
          <t>—</t>
        </is>
      </c>
      <c r="D221" s="23" t="inlineStr">
        <is>
          <t>760259</t>
        </is>
      </c>
      <c r="E221" s="23" t="inlineStr">
        <is>
          <t>SPARE ETHERNET CABLE RJ45M - RJ45F 300MM</t>
        </is>
      </c>
      <c r="F221" s="24" t="n">
        <v>17.5</v>
      </c>
      <c r="G221" s="23" t="n">
        <v>1</v>
      </c>
      <c r="H221" s="23" t="inlineStr">
        <is>
          <t>—</t>
        </is>
      </c>
    </row>
    <row r="222">
      <c r="A222" s="23" t="n">
        <v>218</v>
      </c>
      <c r="B222" s="23" t="inlineStr">
        <is>
          <t>150768</t>
        </is>
      </c>
      <c r="C222" s="23" t="inlineStr">
        <is>
          <t>—</t>
        </is>
      </c>
      <c r="D222" s="23" t="inlineStr">
        <is>
          <t>760260</t>
        </is>
      </c>
      <c r="E222" s="23" t="inlineStr">
        <is>
          <t>SPARE EXTENSION USB CABLE CARO0215</t>
        </is>
      </c>
      <c r="F222" s="24" t="n">
        <v>12.25</v>
      </c>
      <c r="G222" s="23" t="n">
        <v>1</v>
      </c>
      <c r="H222" s="23" t="inlineStr">
        <is>
          <t>—</t>
        </is>
      </c>
    </row>
    <row r="223">
      <c r="A223" s="23" t="n">
        <v>219</v>
      </c>
      <c r="B223" s="23" t="inlineStr">
        <is>
          <t>810784</t>
        </is>
      </c>
      <c r="C223" s="23" t="inlineStr">
        <is>
          <t>—</t>
        </is>
      </c>
      <c r="D223" s="23" t="inlineStr">
        <is>
          <t>760261</t>
        </is>
      </c>
      <c r="E223" s="23" t="inlineStr">
        <is>
          <t>SPARE BCC FIZZ MD FRONT DOOR W/ANTITOUCH</t>
        </is>
      </c>
      <c r="F223" s="24" t="n">
        <v>400</v>
      </c>
      <c r="G223" s="23" t="n">
        <v>1</v>
      </c>
      <c r="H223" s="23" t="inlineStr">
        <is>
          <t>—</t>
        </is>
      </c>
    </row>
    <row r="224">
      <c r="A224" s="23" t="n">
        <v>220</v>
      </c>
      <c r="B224" s="23" t="inlineStr">
        <is>
          <t>810613</t>
        </is>
      </c>
      <c r="C224" s="23" t="inlineStr">
        <is>
          <t>—</t>
        </is>
      </c>
      <c r="D224" s="23" t="inlineStr">
        <is>
          <t>760262</t>
        </is>
      </c>
      <c r="E224" s="23" t="inlineStr">
        <is>
          <t>SPARE BCC 2P ENEL FRONT DOOR W/ANTITOUCH</t>
        </is>
      </c>
      <c r="F224" s="24" t="n">
        <v>272.45</v>
      </c>
      <c r="G224" s="23" t="n">
        <v>1</v>
      </c>
      <c r="H224" s="23" t="inlineStr">
        <is>
          <t>—</t>
        </is>
      </c>
    </row>
    <row r="225">
      <c r="A225" s="23" t="n">
        <v>221</v>
      </c>
      <c r="B225" s="23" t="inlineStr">
        <is>
          <t>140065</t>
        </is>
      </c>
      <c r="C225" s="23" t="inlineStr">
        <is>
          <t>—</t>
        </is>
      </c>
      <c r="D225" s="23" t="inlineStr">
        <is>
          <t>760263</t>
        </is>
      </c>
      <c r="E225" s="23" t="inlineStr">
        <is>
          <t>SPARE WATER BLOCK IN 3/4"F - OUT 3/4"M 100041.00</t>
        </is>
      </c>
      <c r="F225" s="24" t="n">
        <v>46</v>
      </c>
      <c r="G225" s="23" t="n">
        <v>1</v>
      </c>
      <c r="H225" s="23" t="inlineStr">
        <is>
          <t>—</t>
        </is>
      </c>
    </row>
    <row r="226">
      <c r="A226" s="23" t="n">
        <v>222</v>
      </c>
      <c r="B226" s="23" t="inlineStr">
        <is>
          <t>810231</t>
        </is>
      </c>
      <c r="C226" s="23" t="inlineStr">
        <is>
          <t>—</t>
        </is>
      </c>
      <c r="D226" s="23" t="inlineStr">
        <is>
          <t>760266</t>
        </is>
      </c>
      <c r="E226" s="23" t="inlineStr">
        <is>
          <t>SPARE BIOREFRESH TOP COVER W/HOLE</t>
        </is>
      </c>
      <c r="F226" s="24" t="n">
        <v>19.15</v>
      </c>
      <c r="G226" s="23" t="n">
        <v>1</v>
      </c>
      <c r="H226" s="23" t="inlineStr">
        <is>
          <t>—</t>
        </is>
      </c>
    </row>
    <row r="227">
      <c r="A227" s="23" t="n">
        <v>223</v>
      </c>
      <c r="B227" s="23" t="inlineStr">
        <is>
          <t>810232</t>
        </is>
      </c>
      <c r="C227" s="23" t="inlineStr">
        <is>
          <t>—</t>
        </is>
      </c>
      <c r="D227" s="23" t="inlineStr">
        <is>
          <t>760267</t>
        </is>
      </c>
      <c r="E227" s="23" t="inlineStr">
        <is>
          <t>SPARE BIOREFRESH CUP DISPENSER CAP</t>
        </is>
      </c>
      <c r="F227" s="24" t="n">
        <v>2.35</v>
      </c>
      <c r="G227" s="23" t="n">
        <v>1</v>
      </c>
      <c r="H227" s="23" t="inlineStr">
        <is>
          <t>—</t>
        </is>
      </c>
    </row>
    <row r="228">
      <c r="A228" s="23" t="n">
        <v>224</v>
      </c>
      <c r="B228" s="23" t="inlineStr">
        <is>
          <t>140653</t>
        </is>
      </c>
      <c r="C228" s="23" t="inlineStr">
        <is>
          <t>—</t>
        </is>
      </c>
      <c r="D228" s="23" t="inlineStr">
        <is>
          <t>760268</t>
        </is>
      </c>
      <c r="E228" s="23" t="inlineStr">
        <is>
          <t>SPARE HYDRAZON FRONT DOOR</t>
        </is>
      </c>
      <c r="F228" s="24" t="n">
        <v>28.2</v>
      </c>
      <c r="G228" s="23" t="n">
        <v>1</v>
      </c>
      <c r="H228" s="23" t="inlineStr">
        <is>
          <t>—</t>
        </is>
      </c>
    </row>
    <row r="229">
      <c r="A229" s="23" t="n">
        <v>225</v>
      </c>
      <c r="B229" s="23" t="inlineStr">
        <is>
          <t>140652</t>
        </is>
      </c>
      <c r="C229" s="23" t="inlineStr">
        <is>
          <t>—</t>
        </is>
      </c>
      <c r="D229" s="23" t="inlineStr">
        <is>
          <t>760269</t>
        </is>
      </c>
      <c r="E229" s="23" t="inlineStr">
        <is>
          <t>SPARE HYDRAZON FRONT PANEL</t>
        </is>
      </c>
      <c r="F229" s="24" t="n">
        <v>24.95</v>
      </c>
      <c r="G229" s="23" t="n">
        <v>1</v>
      </c>
      <c r="H229" s="23" t="inlineStr">
        <is>
          <t>—</t>
        </is>
      </c>
    </row>
    <row r="230">
      <c r="A230" s="23" t="n">
        <v>226</v>
      </c>
      <c r="B230" s="23" t="inlineStr">
        <is>
          <t>140654</t>
        </is>
      </c>
      <c r="C230" s="23" t="inlineStr">
        <is>
          <t>—</t>
        </is>
      </c>
      <c r="D230" s="23" t="inlineStr">
        <is>
          <t>760270</t>
        </is>
      </c>
      <c r="E230" s="23" t="inlineStr">
        <is>
          <t>SPARE HYDRAZON DRIP TRAY W/GRILL</t>
        </is>
      </c>
      <c r="F230" s="24" t="n">
        <v>14.8</v>
      </c>
      <c r="G230" s="23" t="n">
        <v>1</v>
      </c>
      <c r="H230" s="23" t="inlineStr">
        <is>
          <t>—</t>
        </is>
      </c>
    </row>
    <row r="231">
      <c r="A231" s="23" t="n">
        <v>227</v>
      </c>
      <c r="B231" s="23" t="inlineStr">
        <is>
          <t>140480</t>
        </is>
      </c>
      <c r="C231" s="23" t="inlineStr">
        <is>
          <t>—</t>
        </is>
      </c>
      <c r="D231" s="23" t="inlineStr">
        <is>
          <t>760271</t>
        </is>
      </c>
      <c r="E231" s="23" t="inlineStr">
        <is>
          <t>SPARE HYDRAZON 2P KEYPAD</t>
        </is>
      </c>
      <c r="F231" s="24" t="n">
        <v>17.5</v>
      </c>
      <c r="G231" s="23" t="n">
        <v>1</v>
      </c>
      <c r="H231" s="23" t="inlineStr">
        <is>
          <t>—</t>
        </is>
      </c>
    </row>
    <row r="232">
      <c r="A232" s="23" t="n">
        <v>228</v>
      </c>
      <c r="B232" s="23" t="inlineStr">
        <is>
          <t>160104</t>
        </is>
      </c>
      <c r="C232" s="23" t="inlineStr">
        <is>
          <t>—</t>
        </is>
      </c>
      <c r="D232" s="23" t="inlineStr">
        <is>
          <t>760272</t>
        </is>
      </c>
      <c r="E232" s="23" t="inlineStr">
        <is>
          <t>SPARE EC BCC FIZZ DISPENSER LABELS</t>
        </is>
      </c>
      <c r="F232" s="24" t="n">
        <v>3</v>
      </c>
      <c r="G232" s="23" t="n">
        <v>1</v>
      </c>
      <c r="H232" s="23" t="inlineStr">
        <is>
          <t>—</t>
        </is>
      </c>
    </row>
    <row r="233">
      <c r="A233" s="23" t="n">
        <v>229</v>
      </c>
      <c r="B233" s="23" t="inlineStr">
        <is>
          <t>150149</t>
        </is>
      </c>
      <c r="C233" s="23" t="inlineStr">
        <is>
          <t>—</t>
        </is>
      </c>
      <c r="D233" s="23" t="inlineStr">
        <is>
          <t>760274</t>
        </is>
      </c>
      <c r="E233" s="23" t="inlineStr">
        <is>
          <t>SPARE BLUE LED 28V</t>
        </is>
      </c>
      <c r="F233" s="24" t="n">
        <v>8.15</v>
      </c>
      <c r="G233" s="23" t="n">
        <v>1</v>
      </c>
      <c r="H233" s="23" t="inlineStr">
        <is>
          <t>—</t>
        </is>
      </c>
    </row>
    <row r="234">
      <c r="A234" s="23" t="n">
        <v>230</v>
      </c>
      <c r="B234" s="23" t="inlineStr">
        <is>
          <t>150196</t>
        </is>
      </c>
      <c r="C234" s="23" t="inlineStr">
        <is>
          <t>—</t>
        </is>
      </c>
      <c r="D234" s="23" t="inlineStr">
        <is>
          <t>760277</t>
        </is>
      </c>
      <c r="E234" s="23" t="inlineStr">
        <is>
          <t>SPARE UV IN LAMP 6W</t>
        </is>
      </c>
      <c r="F234" s="24" t="n">
        <v>17.5</v>
      </c>
      <c r="G234" s="23" t="n">
        <v>1</v>
      </c>
      <c r="H234" s="23" t="inlineStr">
        <is>
          <t>—</t>
        </is>
      </c>
    </row>
    <row r="235">
      <c r="A235" s="23" t="n">
        <v>231</v>
      </c>
      <c r="B235" s="23" t="inlineStr">
        <is>
          <t>810294</t>
        </is>
      </c>
      <c r="C235" s="23" t="inlineStr">
        <is>
          <t>—</t>
        </is>
      </c>
      <c r="D235" s="23" t="inlineStr">
        <is>
          <t>760278</t>
        </is>
      </c>
      <c r="E235" s="23" t="inlineStr">
        <is>
          <t>SPARE 6W UV IN INVERTER W/CONNECTOR</t>
        </is>
      </c>
      <c r="F235" s="24" t="n">
        <v>16.9</v>
      </c>
      <c r="G235" s="23" t="n">
        <v>1</v>
      </c>
      <c r="H235" s="23" t="inlineStr">
        <is>
          <t>—</t>
        </is>
      </c>
    </row>
    <row r="236">
      <c r="A236" s="23" t="n">
        <v>232</v>
      </c>
      <c r="B236" s="23" t="inlineStr">
        <is>
          <t>140612</t>
        </is>
      </c>
      <c r="C236" s="23" t="inlineStr">
        <is>
          <t>—</t>
        </is>
      </c>
      <c r="D236" s="23" t="inlineStr">
        <is>
          <t>760281</t>
        </is>
      </c>
      <c r="E236" s="23" t="inlineStr">
        <is>
          <t>SPARE EVERPURE FILTER CARTRIDGE ESO6 EV960710</t>
        </is>
      </c>
      <c r="F236" s="24" t="n">
        <v>105</v>
      </c>
      <c r="G236" s="23" t="n">
        <v>1</v>
      </c>
      <c r="H236" s="23" t="inlineStr">
        <is>
          <t>—</t>
        </is>
      </c>
    </row>
    <row r="237">
      <c r="A237" s="23" t="n">
        <v>233</v>
      </c>
      <c r="B237" s="23" t="inlineStr">
        <is>
          <t>—</t>
        </is>
      </c>
      <c r="C237" s="23" t="inlineStr">
        <is>
          <t>750023</t>
        </is>
      </c>
      <c r="D237" s="23" t="inlineStr">
        <is>
          <t>760282</t>
        </is>
      </c>
      <c r="E237" s="23" t="inlineStr">
        <is>
          <t>SPARE EVERPURE FILTER HEAD W/FITTINGS 8</t>
        </is>
      </c>
      <c r="F237" s="24" t="n">
        <v>57</v>
      </c>
      <c r="G237" s="23" t="n">
        <v>1</v>
      </c>
      <c r="H237" s="23" t="inlineStr">
        <is>
          <t>—</t>
        </is>
      </c>
    </row>
    <row r="238">
      <c r="A238" s="23" t="n">
        <v>234</v>
      </c>
      <c r="B238" s="23" t="inlineStr">
        <is>
          <t>140375</t>
        </is>
      </c>
      <c r="C238" s="23" t="inlineStr">
        <is>
          <t>—</t>
        </is>
      </c>
      <c r="D238" s="23" t="inlineStr">
        <is>
          <t>760283</t>
        </is>
      </c>
      <c r="E238" s="23" t="inlineStr">
        <is>
          <t>SPARE WHITE FITTING 3/4"F - 1/4" E3120302</t>
        </is>
      </c>
      <c r="F238" s="24" t="n">
        <v>11.1</v>
      </c>
      <c r="G238" s="23" t="n">
        <v>1</v>
      </c>
      <c r="H238" s="23" t="inlineStr">
        <is>
          <t>—</t>
        </is>
      </c>
    </row>
    <row r="239">
      <c r="A239" s="23" t="n">
        <v>235</v>
      </c>
      <c r="B239" s="23" t="inlineStr">
        <is>
          <t>140893</t>
        </is>
      </c>
      <c r="C239" s="23" t="inlineStr">
        <is>
          <t>—</t>
        </is>
      </c>
      <c r="D239" s="23" t="inlineStr">
        <is>
          <t>760285</t>
        </is>
      </c>
      <c r="E239" s="23" t="inlineStr">
        <is>
          <t>SPARE BIOREFRESH '22 FRONT PANEL</t>
        </is>
      </c>
      <c r="F239" s="24" t="n">
        <v>22.25</v>
      </c>
      <c r="G239" s="23" t="n">
        <v>1</v>
      </c>
      <c r="H239" s="23" t="inlineStr">
        <is>
          <t>—</t>
        </is>
      </c>
    </row>
    <row r="240">
      <c r="A240" s="23" t="n">
        <v>236</v>
      </c>
      <c r="B240" s="23" t="inlineStr">
        <is>
          <t>130006A</t>
        </is>
      </c>
      <c r="C240" s="23" t="inlineStr">
        <is>
          <t>—</t>
        </is>
      </c>
      <c r="D240" s="23" t="inlineStr">
        <is>
          <t>760286</t>
        </is>
      </c>
      <c r="E240" s="23" t="inlineStr">
        <is>
          <t>SPARE ROTARY PUMP 200 L/H</t>
        </is>
      </c>
      <c r="F240" s="24" t="n">
        <v>75.59999999999999</v>
      </c>
      <c r="G240" s="23" t="n">
        <v>1</v>
      </c>
      <c r="H240" s="23" t="inlineStr">
        <is>
          <t>—</t>
        </is>
      </c>
    </row>
    <row r="241">
      <c r="A241" s="23" t="n">
        <v>237</v>
      </c>
      <c r="B241" s="23" t="inlineStr">
        <is>
          <t>140892</t>
        </is>
      </c>
      <c r="C241" s="23" t="inlineStr">
        <is>
          <t>—</t>
        </is>
      </c>
      <c r="D241" s="23" t="inlineStr">
        <is>
          <t>760287</t>
        </is>
      </c>
      <c r="E241" s="23" t="inlineStr">
        <is>
          <t>SPARE BIOREFRESH '22 BOTTOM PANEL</t>
        </is>
      </c>
      <c r="F241" s="24" t="n">
        <v>27.8</v>
      </c>
      <c r="G241" s="23" t="n">
        <v>1</v>
      </c>
      <c r="H241" s="23" t="inlineStr">
        <is>
          <t>—</t>
        </is>
      </c>
    </row>
    <row r="242">
      <c r="A242" s="23" t="n">
        <v>238</v>
      </c>
      <c r="B242" s="23" t="inlineStr">
        <is>
          <t>140008</t>
        </is>
      </c>
      <c r="C242" s="23" t="inlineStr">
        <is>
          <t>—</t>
        </is>
      </c>
      <c r="D242" s="23" t="inlineStr">
        <is>
          <t>760288</t>
        </is>
      </c>
      <c r="E242" s="23" t="inlineStr">
        <is>
          <t>SPARE EVERPURE 4C FILTER CARTRIDGE</t>
        </is>
      </c>
      <c r="F242" s="24" t="n">
        <v>44.3</v>
      </c>
      <c r="G242" s="23" t="n">
        <v>1</v>
      </c>
      <c r="H242" s="23" t="inlineStr">
        <is>
          <t>—</t>
        </is>
      </c>
    </row>
    <row r="243">
      <c r="A243" s="23" t="n">
        <v>239</v>
      </c>
      <c r="B243" s="23" t="inlineStr">
        <is>
          <t>120173</t>
        </is>
      </c>
      <c r="C243" s="23" t="inlineStr">
        <is>
          <t>—</t>
        </is>
      </c>
      <c r="D243" s="23" t="inlineStr">
        <is>
          <t>760290</t>
        </is>
      </c>
      <c r="E243" s="23" t="inlineStr">
        <is>
          <t>SPARE SELFIZZ / BIOREFRESH NANOTECH STAINLESS STEEL OUTLET TUBE</t>
        </is>
      </c>
      <c r="F243" s="24" t="n">
        <v>14.4</v>
      </c>
      <c r="G243" s="23" t="n">
        <v>1</v>
      </c>
      <c r="H243" s="23" t="inlineStr">
        <is>
          <t>—</t>
        </is>
      </c>
    </row>
    <row r="244">
      <c r="A244" s="23" t="n">
        <v>240</v>
      </c>
      <c r="B244" s="23" t="inlineStr">
        <is>
          <t>130006</t>
        </is>
      </c>
      <c r="C244" s="23" t="inlineStr">
        <is>
          <t>—</t>
        </is>
      </c>
      <c r="D244" s="23" t="inlineStr">
        <is>
          <t>760291</t>
        </is>
      </c>
      <c r="E244" s="23" t="inlineStr">
        <is>
          <t>SPARE ROTARY PUMP 200 L/H</t>
        </is>
      </c>
      <c r="F244" s="24" t="n">
        <v>75.59999999999999</v>
      </c>
      <c r="G244" s="23" t="n">
        <v>1</v>
      </c>
      <c r="H244" s="6" t="inlineStr">
        <is>
          <t>BW-0451</t>
        </is>
      </c>
    </row>
    <row r="245">
      <c r="A245" s="23" t="n">
        <v>241</v>
      </c>
      <c r="B245" s="23" t="inlineStr">
        <is>
          <t>130013</t>
        </is>
      </c>
      <c r="C245" s="23" t="inlineStr">
        <is>
          <t>—</t>
        </is>
      </c>
      <c r="D245" s="23" t="inlineStr">
        <is>
          <t>760293</t>
        </is>
      </c>
      <c r="E245" s="23" t="inlineStr">
        <is>
          <t>SPARE BLUBAR STAINLESS STEEL BEER TAP BSP5/8" - IN 5/16"</t>
        </is>
      </c>
      <c r="F245" s="24" t="n">
        <v>70.65000000000001</v>
      </c>
      <c r="G245" s="23" t="n">
        <v>1</v>
      </c>
      <c r="H245" s="23" t="inlineStr">
        <is>
          <t>—</t>
        </is>
      </c>
    </row>
    <row r="246">
      <c r="A246" s="23" t="n">
        <v>242</v>
      </c>
      <c r="B246" s="23" t="inlineStr">
        <is>
          <t>—</t>
        </is>
      </c>
      <c r="C246" s="23" t="inlineStr">
        <is>
          <t>750114</t>
        </is>
      </c>
      <c r="D246" s="23" t="inlineStr">
        <is>
          <t>760295</t>
        </is>
      </c>
      <c r="E246" s="23" t="inlineStr">
        <is>
          <t>SPARE 5LT TANK FOR DRAIN W/ALARM</t>
        </is>
      </c>
      <c r="F246" s="24" t="n">
        <v>79.3</v>
      </c>
      <c r="G246" s="23" t="n">
        <v>1</v>
      </c>
      <c r="H246" s="23" t="inlineStr">
        <is>
          <t>—</t>
        </is>
      </c>
    </row>
    <row r="247">
      <c r="A247" s="23" t="n">
        <v>243</v>
      </c>
      <c r="B247" s="23" t="inlineStr">
        <is>
          <t>150960</t>
        </is>
      </c>
      <c r="C247" s="23" t="inlineStr">
        <is>
          <t>750374</t>
        </is>
      </c>
      <c r="D247" s="23" t="inlineStr">
        <is>
          <t>760296</t>
        </is>
      </c>
      <c r="E247" s="23" t="inlineStr">
        <is>
          <t>SPARE UVC LED IN LAMP W/FITTINGS</t>
        </is>
      </c>
      <c r="F247" s="24" t="n">
        <v>97</v>
      </c>
      <c r="G247" s="23" t="n">
        <v>1</v>
      </c>
      <c r="H247" s="23" t="inlineStr">
        <is>
          <t>—</t>
        </is>
      </c>
    </row>
    <row r="248">
      <c r="A248" s="23" t="n">
        <v>244</v>
      </c>
      <c r="B248" s="23" t="inlineStr">
        <is>
          <t>140261</t>
        </is>
      </c>
      <c r="C248" s="23" t="inlineStr">
        <is>
          <t>—</t>
        </is>
      </c>
      <c r="D248" s="23" t="inlineStr">
        <is>
          <t>760297</t>
        </is>
      </c>
      <c r="E248" s="23" t="inlineStr">
        <is>
          <t>SPARE N.5 PCS. STRAIGHT SHUT-OFF VALVE 3/8"-3/8"</t>
        </is>
      </c>
      <c r="F248" s="24" t="n">
        <v>30</v>
      </c>
      <c r="G248" s="23" t="n">
        <v>5</v>
      </c>
      <c r="H248" s="23" t="inlineStr">
        <is>
          <t>—</t>
        </is>
      </c>
    </row>
    <row r="249">
      <c r="A249" s="23" t="n">
        <v>245</v>
      </c>
      <c r="B249" s="23" t="inlineStr">
        <is>
          <t>140670</t>
        </is>
      </c>
      <c r="C249" s="23" t="inlineStr">
        <is>
          <t>—</t>
        </is>
      </c>
      <c r="D249" s="23" t="inlineStr">
        <is>
          <t>760466</t>
        </is>
      </c>
      <c r="E249" s="23" t="inlineStr">
        <is>
          <t>SPARE N.10 PCS. PICCOLA / HYDRAZON MIX PUSH BUTTON</t>
        </is>
      </c>
      <c r="F249" s="24" t="n">
        <v>14.5</v>
      </c>
      <c r="G249" s="23" t="n">
        <v>10</v>
      </c>
      <c r="H249" s="23" t="inlineStr">
        <is>
          <t>—</t>
        </is>
      </c>
    </row>
    <row r="250">
      <c r="A250" s="23" t="n">
        <v>246</v>
      </c>
      <c r="B250" s="23" t="inlineStr">
        <is>
          <t>140668</t>
        </is>
      </c>
      <c r="C250" s="23" t="inlineStr">
        <is>
          <t>—</t>
        </is>
      </c>
      <c r="D250" s="23" t="inlineStr">
        <is>
          <t>760467</t>
        </is>
      </c>
      <c r="E250" s="23" t="inlineStr">
        <is>
          <t>SPARE N.10 PCS. PICCOLA / HYDRAZON HOT PUSH BUTTON</t>
        </is>
      </c>
      <c r="F250" s="24" t="n">
        <v>14.5</v>
      </c>
      <c r="G250" s="23" t="n">
        <v>10</v>
      </c>
      <c r="H250" s="23" t="inlineStr">
        <is>
          <t>—</t>
        </is>
      </c>
    </row>
    <row r="251">
      <c r="A251" s="23" t="n">
        <v>247</v>
      </c>
      <c r="B251" s="23" t="inlineStr">
        <is>
          <t>140667</t>
        </is>
      </c>
      <c r="C251" s="23" t="inlineStr">
        <is>
          <t>—</t>
        </is>
      </c>
      <c r="D251" s="23" t="inlineStr">
        <is>
          <t>760468</t>
        </is>
      </c>
      <c r="E251" s="23" t="inlineStr">
        <is>
          <t>SPARE N.10 PCS. PICCOLA / HYDRAZON SPARKLING PUSH BUTTON</t>
        </is>
      </c>
      <c r="F251" s="24" t="n">
        <v>14.5</v>
      </c>
      <c r="G251" s="23" t="n">
        <v>10</v>
      </c>
      <c r="H251" s="23" t="inlineStr">
        <is>
          <t>—</t>
        </is>
      </c>
    </row>
    <row r="252">
      <c r="A252" s="23" t="n">
        <v>248</v>
      </c>
      <c r="B252" s="23" t="inlineStr">
        <is>
          <t>140666</t>
        </is>
      </c>
      <c r="C252" s="23" t="inlineStr">
        <is>
          <t>—</t>
        </is>
      </c>
      <c r="D252" s="23" t="inlineStr">
        <is>
          <t>760469</t>
        </is>
      </c>
      <c r="E252" s="23" t="inlineStr">
        <is>
          <t>SPARE N.10 PCS. PICCOLA / HYDRAZON AMBIENT PUSH BUTTON</t>
        </is>
      </c>
      <c r="F252" s="24" t="n">
        <v>14.5</v>
      </c>
      <c r="G252" s="23" t="n">
        <v>10</v>
      </c>
      <c r="H252" s="23" t="inlineStr">
        <is>
          <t>—</t>
        </is>
      </c>
    </row>
    <row r="253">
      <c r="A253" s="23" t="n">
        <v>249</v>
      </c>
      <c r="B253" s="23" t="inlineStr">
        <is>
          <t>140665</t>
        </is>
      </c>
      <c r="C253" s="23" t="inlineStr">
        <is>
          <t>—</t>
        </is>
      </c>
      <c r="D253" s="23" t="inlineStr">
        <is>
          <t>760470</t>
        </is>
      </c>
      <c r="E253" s="23" t="inlineStr">
        <is>
          <t>SPARE N.10 PCS. PICCOLA / HYDRAZON COLD PUSH BUTTON</t>
        </is>
      </c>
      <c r="F253" s="24" t="n">
        <v>14.5</v>
      </c>
      <c r="G253" s="23" t="n">
        <v>10</v>
      </c>
      <c r="H253" s="23" t="inlineStr">
        <is>
          <t>—</t>
        </is>
      </c>
    </row>
    <row r="254">
      <c r="A254" s="23" t="n">
        <v>250</v>
      </c>
      <c r="B254" s="23" t="inlineStr">
        <is>
          <t>140003</t>
        </is>
      </c>
      <c r="C254" s="23" t="inlineStr">
        <is>
          <t>—</t>
        </is>
      </c>
      <c r="D254" s="23" t="inlineStr">
        <is>
          <t>760472</t>
        </is>
      </c>
      <c r="E254" s="23" t="inlineStr">
        <is>
          <t>SPARE N.4 PCS. COMPRESSOR PLASTIC ANTIVIBRATION MOUNTS</t>
        </is>
      </c>
      <c r="F254" s="24" t="n">
        <v>3.8</v>
      </c>
      <c r="G254" s="23" t="n">
        <v>4</v>
      </c>
      <c r="H254" s="23" t="inlineStr">
        <is>
          <t>—</t>
        </is>
      </c>
    </row>
    <row r="255">
      <c r="A255" s="23" t="n">
        <v>251</v>
      </c>
      <c r="B255" s="23" t="inlineStr">
        <is>
          <t>140302</t>
        </is>
      </c>
      <c r="C255" s="23" t="inlineStr">
        <is>
          <t>—</t>
        </is>
      </c>
      <c r="D255" s="23" t="inlineStr">
        <is>
          <t>760473</t>
        </is>
      </c>
      <c r="E255" s="23" t="inlineStr">
        <is>
          <t>SPARE N.10 PCS. MALE CONNECTOR 6MM-BSP1/4"M PM010612E</t>
        </is>
      </c>
      <c r="F255" s="24" t="n">
        <v>17</v>
      </c>
      <c r="G255" s="23" t="n">
        <v>10</v>
      </c>
      <c r="H255" s="23" t="inlineStr">
        <is>
          <t>—</t>
        </is>
      </c>
    </row>
    <row r="256">
      <c r="A256" s="23" t="n">
        <v>252</v>
      </c>
      <c r="B256" s="23" t="inlineStr">
        <is>
          <t>150012</t>
        </is>
      </c>
      <c r="C256" s="23" t="inlineStr">
        <is>
          <t>—</t>
        </is>
      </c>
      <c r="D256" s="23" t="inlineStr">
        <is>
          <t>760474</t>
        </is>
      </c>
      <c r="E256" s="23" t="inlineStr">
        <is>
          <t>SPARE N.5 PCS. COOL1 INTERRUPTOR 2 POSITIONS</t>
        </is>
      </c>
      <c r="F256" s="24" t="n">
        <v>15.5</v>
      </c>
      <c r="G256" s="23" t="n">
        <v>5</v>
      </c>
      <c r="H256" s="23" t="inlineStr">
        <is>
          <t>—</t>
        </is>
      </c>
    </row>
    <row r="257">
      <c r="A257" s="23" t="n">
        <v>253</v>
      </c>
      <c r="B257" s="23" t="inlineStr">
        <is>
          <t>140126</t>
        </is>
      </c>
      <c r="C257" s="23" t="inlineStr">
        <is>
          <t>—</t>
        </is>
      </c>
      <c r="D257" s="23" t="inlineStr">
        <is>
          <t>760475</t>
        </is>
      </c>
      <c r="E257" s="23" t="inlineStr">
        <is>
          <t>SPARE DRAIN TUBE D32/40MM W/RING NUT 1"1/4F</t>
        </is>
      </c>
      <c r="F257" s="24" t="n">
        <v>5.85</v>
      </c>
      <c r="G257" s="23" t="n">
        <v>1</v>
      </c>
      <c r="H257" s="23" t="inlineStr">
        <is>
          <t>—</t>
        </is>
      </c>
    </row>
    <row r="258">
      <c r="A258" s="23" t="n">
        <v>254</v>
      </c>
      <c r="B258" s="23" t="inlineStr">
        <is>
          <t>140583</t>
        </is>
      </c>
      <c r="C258" s="23" t="inlineStr">
        <is>
          <t>—</t>
        </is>
      </c>
      <c r="D258" s="23" t="inlineStr">
        <is>
          <t>760476</t>
        </is>
      </c>
      <c r="E258" s="23" t="inlineStr">
        <is>
          <t>SPARE N.10 PCS. NOT FOOD-GRADE O-RING 16x1,50MM</t>
        </is>
      </c>
      <c r="F258" s="24" t="n">
        <v>0.4</v>
      </c>
      <c r="G258" s="23" t="n">
        <v>10</v>
      </c>
      <c r="H258" s="23" t="inlineStr">
        <is>
          <t>—</t>
        </is>
      </c>
    </row>
    <row r="259">
      <c r="A259" s="23" t="n">
        <v>255</v>
      </c>
      <c r="B259" s="23" t="inlineStr">
        <is>
          <t>160567</t>
        </is>
      </c>
      <c r="C259" s="23" t="inlineStr">
        <is>
          <t>—</t>
        </is>
      </c>
      <c r="D259" s="23" t="inlineStr">
        <is>
          <t>760477</t>
        </is>
      </c>
      <c r="E259" s="23" t="inlineStr">
        <is>
          <t>SPARE BIOREFRESH LEXAN LABEL CULLIGAN LOGO AMBIENT AND COLD</t>
        </is>
      </c>
      <c r="F259" s="24" t="n">
        <v>5.75</v>
      </c>
      <c r="G259" s="23" t="n">
        <v>1</v>
      </c>
      <c r="H259" s="23" t="inlineStr">
        <is>
          <t>—</t>
        </is>
      </c>
    </row>
    <row r="260">
      <c r="A260" s="23" t="n">
        <v>256</v>
      </c>
      <c r="B260" s="23" t="inlineStr">
        <is>
          <t>140250</t>
        </is>
      </c>
      <c r="C260" s="23" t="inlineStr">
        <is>
          <t>—</t>
        </is>
      </c>
      <c r="D260" s="23" t="inlineStr">
        <is>
          <t>760478</t>
        </is>
      </c>
      <c r="E260" s="23" t="inlineStr">
        <is>
          <t>SPARE CO2 SAFETY VALVE R-411324/8,5</t>
        </is>
      </c>
      <c r="F260" s="24" t="n">
        <v>6.1</v>
      </c>
      <c r="G260" s="23" t="n">
        <v>1</v>
      </c>
      <c r="H260" s="23" t="inlineStr">
        <is>
          <t>—</t>
        </is>
      </c>
    </row>
    <row r="261">
      <c r="A261" s="23" t="n">
        <v>257</v>
      </c>
      <c r="B261" s="23" t="inlineStr">
        <is>
          <t>810304</t>
        </is>
      </c>
      <c r="C261" s="23" t="inlineStr">
        <is>
          <t>—</t>
        </is>
      </c>
      <c r="D261" s="23" t="inlineStr">
        <is>
          <t>760479</t>
        </is>
      </c>
      <c r="E261" s="23" t="inlineStr">
        <is>
          <t>SPARE PUSH BUTTON SPARKLING BLACK INCISION BLUE LIGHT</t>
        </is>
      </c>
      <c r="F261" s="24" t="n">
        <v>16.4</v>
      </c>
      <c r="G261" s="23" t="n">
        <v>1</v>
      </c>
      <c r="H261" s="23" t="inlineStr">
        <is>
          <t>—</t>
        </is>
      </c>
    </row>
    <row r="262">
      <c r="A262" s="23" t="n">
        <v>258</v>
      </c>
      <c r="B262" s="23" t="inlineStr">
        <is>
          <t>130117</t>
        </is>
      </c>
      <c r="C262" s="23" t="inlineStr">
        <is>
          <t>—</t>
        </is>
      </c>
      <c r="D262" s="23" t="inlineStr">
        <is>
          <t>760480</t>
        </is>
      </c>
      <c r="E262" s="23" t="inlineStr">
        <is>
          <t>SPARE ROTATING ELBOW FITTING D8-1/4"M W/O-RING NSF E2305043</t>
        </is>
      </c>
      <c r="F262" s="24" t="n">
        <v>38.5</v>
      </c>
      <c r="G262" s="23" t="n">
        <v>1</v>
      </c>
      <c r="H262" s="23" t="inlineStr">
        <is>
          <t>—</t>
        </is>
      </c>
    </row>
    <row r="263">
      <c r="A263" s="23" t="n">
        <v>259</v>
      </c>
      <c r="B263" s="23" t="inlineStr">
        <is>
          <t>—</t>
        </is>
      </c>
      <c r="C263" s="23" t="inlineStr">
        <is>
          <t>750066</t>
        </is>
      </c>
      <c r="D263" s="23" t="inlineStr">
        <is>
          <t>760481</t>
        </is>
      </c>
      <c r="E263" s="23" t="inlineStr">
        <is>
          <t>SPARE FONTEMAGNA 150 FAN D200 230V</t>
        </is>
      </c>
      <c r="F263" s="24" t="n">
        <v>32.65</v>
      </c>
      <c r="G263" s="23" t="n">
        <v>1</v>
      </c>
      <c r="H263" s="6" t="inlineStr">
        <is>
          <t>BW-0189</t>
        </is>
      </c>
    </row>
    <row r="264">
      <c r="A264" s="23" t="n">
        <v>260</v>
      </c>
      <c r="B264" s="23" t="inlineStr">
        <is>
          <t>140792</t>
        </is>
      </c>
      <c r="C264" s="23" t="inlineStr">
        <is>
          <t>750291</t>
        </is>
      </c>
      <c r="D264" s="23" t="inlineStr">
        <is>
          <t>760482</t>
        </is>
      </c>
      <c r="E264" s="23" t="inlineStr">
        <is>
          <t>SPARE SELFIZZ FUSION RO PRESSURE VESSEL</t>
        </is>
      </c>
      <c r="F264" s="24" t="n">
        <v>45</v>
      </c>
      <c r="G264" s="23" t="n">
        <v>1</v>
      </c>
      <c r="H264" s="23" t="inlineStr">
        <is>
          <t>—</t>
        </is>
      </c>
    </row>
    <row r="265">
      <c r="A265" s="23" t="n">
        <v>261</v>
      </c>
      <c r="B265" s="23" t="inlineStr">
        <is>
          <t>140408</t>
        </is>
      </c>
      <c r="C265" s="23" t="inlineStr">
        <is>
          <t>—</t>
        </is>
      </c>
      <c r="D265" s="23" t="inlineStr">
        <is>
          <t>760483</t>
        </is>
      </c>
      <c r="E265" s="23" t="inlineStr">
        <is>
          <t>SPARE N.4 PCS. ADJUSTABLE FOOT D30/H48MM W/PIVOT M8</t>
        </is>
      </c>
      <c r="F265" s="24" t="n">
        <v>18.9</v>
      </c>
      <c r="G265" s="23" t="n">
        <v>4</v>
      </c>
      <c r="H265" s="23" t="inlineStr">
        <is>
          <t>—</t>
        </is>
      </c>
    </row>
    <row r="266">
      <c r="A266" s="23" t="n">
        <v>262</v>
      </c>
      <c r="B266" s="23" t="inlineStr">
        <is>
          <t>130080</t>
        </is>
      </c>
      <c r="C266" s="23" t="inlineStr">
        <is>
          <t>—</t>
        </is>
      </c>
      <c r="D266" s="23" t="inlineStr">
        <is>
          <t>760484</t>
        </is>
      </c>
      <c r="E266" s="23" t="inlineStr">
        <is>
          <t>SPARE FONTEMAGNA UV STAINLESS STEEL SPOUT</t>
        </is>
      </c>
      <c r="F266" s="24" t="n">
        <v>7.85</v>
      </c>
      <c r="G266" s="23" t="n">
        <v>1</v>
      </c>
      <c r="H266" s="23" t="inlineStr">
        <is>
          <t>—</t>
        </is>
      </c>
    </row>
    <row r="267">
      <c r="A267" s="23" t="n">
        <v>263</v>
      </c>
      <c r="B267" s="23" t="inlineStr">
        <is>
          <t>810306</t>
        </is>
      </c>
      <c r="C267" s="23" t="inlineStr">
        <is>
          <t>—</t>
        </is>
      </c>
      <c r="D267" s="23" t="inlineStr">
        <is>
          <t>760485</t>
        </is>
      </c>
      <c r="E267" s="23" t="inlineStr">
        <is>
          <t>SPARE PUSH BUTTON COLD BLACK INCISION BLUE LIGHT</t>
        </is>
      </c>
      <c r="F267" s="24" t="n">
        <v>16.4</v>
      </c>
      <c r="G267" s="23" t="n">
        <v>1</v>
      </c>
      <c r="H267" s="23" t="inlineStr">
        <is>
          <t>—</t>
        </is>
      </c>
    </row>
    <row r="268">
      <c r="A268" s="23" t="n">
        <v>264</v>
      </c>
      <c r="B268" s="23" t="inlineStr">
        <is>
          <t>120016</t>
        </is>
      </c>
      <c r="C268" s="23" t="inlineStr">
        <is>
          <t>—</t>
        </is>
      </c>
      <c r="D268" s="23" t="inlineStr">
        <is>
          <t>760486</t>
        </is>
      </c>
      <c r="E268" s="23" t="inlineStr">
        <is>
          <t>SPARE FONTEMAGNA 80 CONDENSER</t>
        </is>
      </c>
      <c r="F268" s="24" t="n">
        <v>39.35</v>
      </c>
      <c r="G268" s="23" t="n">
        <v>1</v>
      </c>
      <c r="H268" s="23" t="inlineStr">
        <is>
          <t>—</t>
        </is>
      </c>
    </row>
    <row r="269">
      <c r="A269" s="23" t="n">
        <v>265</v>
      </c>
      <c r="B269" s="23" t="inlineStr">
        <is>
          <t>—</t>
        </is>
      </c>
      <c r="C269" s="23" t="inlineStr">
        <is>
          <t>750039</t>
        </is>
      </c>
      <c r="D269" s="23" t="inlineStr">
        <is>
          <t>760487</t>
        </is>
      </c>
      <c r="E269" s="23" t="inlineStr">
        <is>
          <t>SPARE ABS WAVE DRIP TRAY W/RUBBER PADS W/GRILL</t>
        </is>
      </c>
      <c r="F269" s="24" t="n">
        <v>26.45</v>
      </c>
      <c r="G269" s="23" t="n">
        <v>1</v>
      </c>
      <c r="H269" s="23" t="inlineStr">
        <is>
          <t>—</t>
        </is>
      </c>
    </row>
    <row r="270">
      <c r="A270" s="23" t="n">
        <v>266</v>
      </c>
      <c r="B270" s="23" t="inlineStr">
        <is>
          <t>810305</t>
        </is>
      </c>
      <c r="C270" s="23" t="inlineStr">
        <is>
          <t>—</t>
        </is>
      </c>
      <c r="D270" s="23" t="inlineStr">
        <is>
          <t>760488</t>
        </is>
      </c>
      <c r="E270" s="23" t="inlineStr">
        <is>
          <t>SPARE PUSH BUTTON AMBIENT BLACK INCISION BLUE LIGHT</t>
        </is>
      </c>
      <c r="F270" s="24" t="n">
        <v>16.4</v>
      </c>
      <c r="G270" s="23" t="n">
        <v>1</v>
      </c>
      <c r="H270" s="23" t="inlineStr">
        <is>
          <t>—</t>
        </is>
      </c>
    </row>
    <row r="271">
      <c r="A271" s="23" t="n">
        <v>267</v>
      </c>
      <c r="B271" s="23" t="inlineStr">
        <is>
          <t>120162</t>
        </is>
      </c>
      <c r="C271" s="23" t="inlineStr">
        <is>
          <t>—</t>
        </is>
      </c>
      <c r="D271" s="23" t="inlineStr">
        <is>
          <t>760489</t>
        </is>
      </c>
      <c r="E271" s="23" t="inlineStr">
        <is>
          <t>SPARE COMPRESSOR D40CY R600 1/15HP 230V 50HZ</t>
        </is>
      </c>
      <c r="F271" s="24" t="n">
        <v>100.95</v>
      </c>
      <c r="G271" s="23" t="n">
        <v>1</v>
      </c>
      <c r="H271" s="23" t="inlineStr">
        <is>
          <t>—</t>
        </is>
      </c>
    </row>
    <row r="272">
      <c r="A272" s="23" t="n">
        <v>268</v>
      </c>
      <c r="B272" s="23" t="inlineStr">
        <is>
          <t>810253</t>
        </is>
      </c>
      <c r="C272" s="23" t="inlineStr">
        <is>
          <t>—</t>
        </is>
      </c>
      <c r="D272" s="23" t="inlineStr">
        <is>
          <t>760490</t>
        </is>
      </c>
      <c r="E272" s="23" t="inlineStr">
        <is>
          <t>SPARE EVO HOT WATER TANK 1,5L 230V W/TERMODISK ASSEMBLED</t>
        </is>
      </c>
      <c r="F272" s="24" t="n">
        <v>50.05</v>
      </c>
      <c r="G272" s="23" t="n">
        <v>1</v>
      </c>
      <c r="H272" s="23" t="inlineStr">
        <is>
          <t>—</t>
        </is>
      </c>
    </row>
    <row r="273">
      <c r="A273" s="23" t="n">
        <v>269</v>
      </c>
      <c r="B273" s="23" t="inlineStr">
        <is>
          <t>150664</t>
        </is>
      </c>
      <c r="C273" s="23" t="inlineStr">
        <is>
          <t>—</t>
        </is>
      </c>
      <c r="D273" s="23" t="inlineStr">
        <is>
          <t>760491</t>
        </is>
      </c>
      <c r="E273" s="23" t="inlineStr">
        <is>
          <t>SPARE SOLENOID VALVE TD 1IN 8MM - 1OUT 8MM 24VAC</t>
        </is>
      </c>
      <c r="F273" s="24" t="n">
        <v>18.95</v>
      </c>
      <c r="G273" s="23" t="n">
        <v>1</v>
      </c>
      <c r="H273" s="23" t="inlineStr">
        <is>
          <t>—</t>
        </is>
      </c>
    </row>
    <row r="274">
      <c r="A274" s="23" t="n">
        <v>270</v>
      </c>
      <c r="B274" s="23" t="inlineStr">
        <is>
          <t>120119</t>
        </is>
      </c>
      <c r="C274" s="23" t="inlineStr">
        <is>
          <t>—</t>
        </is>
      </c>
      <c r="D274" s="23" t="inlineStr">
        <is>
          <t>760493</t>
        </is>
      </c>
      <c r="E274" s="23" t="inlineStr">
        <is>
          <t>SPARE WAVE NANOTECH STAINLESS STEEL OUTLET TUBE</t>
        </is>
      </c>
      <c r="F274" s="24" t="n">
        <v>14.4</v>
      </c>
      <c r="G274" s="23" t="n">
        <v>1</v>
      </c>
      <c r="H274" s="23" t="inlineStr">
        <is>
          <t>—</t>
        </is>
      </c>
    </row>
    <row r="275">
      <c r="A275" s="23" t="n">
        <v>271</v>
      </c>
      <c r="B275" s="23" t="inlineStr">
        <is>
          <t>140594</t>
        </is>
      </c>
      <c r="C275" s="23" t="inlineStr">
        <is>
          <t>—</t>
        </is>
      </c>
      <c r="D275" s="23" t="inlineStr">
        <is>
          <t>760494</t>
        </is>
      </c>
      <c r="E275" s="23" t="inlineStr">
        <is>
          <t>SPARE CARBON BLOCK FILTER</t>
        </is>
      </c>
      <c r="F275" s="24" t="n">
        <v>20.6</v>
      </c>
      <c r="G275" s="23" t="n">
        <v>1</v>
      </c>
      <c r="H275" s="23" t="inlineStr">
        <is>
          <t>—</t>
        </is>
      </c>
    </row>
    <row r="276">
      <c r="A276" s="23" t="n">
        <v>272</v>
      </c>
      <c r="B276" s="23" t="inlineStr">
        <is>
          <t>120084</t>
        </is>
      </c>
      <c r="C276" s="23" t="inlineStr">
        <is>
          <t>—</t>
        </is>
      </c>
      <c r="D276" s="23" t="inlineStr">
        <is>
          <t>760495</t>
        </is>
      </c>
      <c r="E276" s="23" t="inlineStr">
        <is>
          <t>SPARE WAVE STAINLESS STEEL OUTLET TUBE</t>
        </is>
      </c>
      <c r="F276" s="24" t="n">
        <v>3</v>
      </c>
      <c r="G276" s="23" t="n">
        <v>1</v>
      </c>
      <c r="H276" s="23" t="inlineStr">
        <is>
          <t>—</t>
        </is>
      </c>
    </row>
    <row r="277">
      <c r="A277" s="23" t="n">
        <v>273</v>
      </c>
      <c r="B277" s="23" t="inlineStr">
        <is>
          <t>150025</t>
        </is>
      </c>
      <c r="C277" s="23" t="inlineStr">
        <is>
          <t>—</t>
        </is>
      </c>
      <c r="D277" s="23" t="inlineStr">
        <is>
          <t>760496</t>
        </is>
      </c>
      <c r="E277" s="23" t="inlineStr">
        <is>
          <t>SOLENOID VALVE 161.4BV.D KH15 24V/50-60HZ</t>
        </is>
      </c>
      <c r="F277" s="24" t="n">
        <v>24.1</v>
      </c>
      <c r="G277" s="23" t="n">
        <v>1</v>
      </c>
      <c r="H277" s="23" t="inlineStr">
        <is>
          <t>—</t>
        </is>
      </c>
    </row>
    <row r="278">
      <c r="A278" s="23" t="n">
        <v>274</v>
      </c>
      <c r="B278" s="23" t="inlineStr">
        <is>
          <t>120088</t>
        </is>
      </c>
      <c r="C278" s="23" t="inlineStr">
        <is>
          <t>—</t>
        </is>
      </c>
      <c r="D278" s="23" t="inlineStr">
        <is>
          <t>760497</t>
        </is>
      </c>
      <c r="E278" s="23" t="inlineStr">
        <is>
          <t>SPARE COMPRESSOR R290 1/5HP 220/240V 50HZ</t>
        </is>
      </c>
      <c r="F278" s="24" t="n">
        <v>168.7</v>
      </c>
      <c r="G278" s="23" t="n">
        <v>1</v>
      </c>
      <c r="H278" s="23" t="inlineStr">
        <is>
          <t>—</t>
        </is>
      </c>
    </row>
    <row r="279">
      <c r="A279" s="23" t="n">
        <v>275</v>
      </c>
      <c r="B279" s="23" t="inlineStr">
        <is>
          <t>150708</t>
        </is>
      </c>
      <c r="C279" s="23" t="inlineStr">
        <is>
          <t>—</t>
        </is>
      </c>
      <c r="D279" s="23" t="inlineStr">
        <is>
          <t>760498</t>
        </is>
      </c>
      <c r="E279" s="23" t="inlineStr">
        <is>
          <t>SPARE BLUPURA 1 UV LED CONTROL BOARD</t>
        </is>
      </c>
      <c r="F279" s="24" t="n">
        <v>78.2</v>
      </c>
      <c r="G279" s="23" t="n">
        <v>1</v>
      </c>
      <c r="H279" s="6" t="inlineStr">
        <is>
          <t>BW-0389</t>
        </is>
      </c>
    </row>
    <row r="280">
      <c r="A280" s="23" t="n">
        <v>276</v>
      </c>
      <c r="B280" s="23" t="inlineStr">
        <is>
          <t>130005A</t>
        </is>
      </c>
      <c r="C280" s="23" t="inlineStr">
        <is>
          <t>—</t>
        </is>
      </c>
      <c r="D280" s="23" t="inlineStr">
        <is>
          <t>760499</t>
        </is>
      </c>
      <c r="E280" s="23" t="inlineStr">
        <is>
          <t>SPARE PUMP MOTOR 220V 180W 200L</t>
        </is>
      </c>
      <c r="F280" s="24" t="n">
        <v>92.90000000000001</v>
      </c>
      <c r="G280" s="23" t="n">
        <v>1</v>
      </c>
      <c r="H280" s="6" t="inlineStr">
        <is>
          <t>BW-0188</t>
        </is>
      </c>
    </row>
    <row r="281">
      <c r="A281" s="23" t="n">
        <v>277</v>
      </c>
      <c r="B281" s="23" t="inlineStr">
        <is>
          <t>130027</t>
        </is>
      </c>
      <c r="C281" s="23" t="inlineStr">
        <is>
          <t>—</t>
        </is>
      </c>
      <c r="D281" s="23" t="inlineStr">
        <is>
          <t>760500</t>
        </is>
      </c>
      <c r="E281" s="23" t="inlineStr">
        <is>
          <t>SPARE GOOSENECK TAP W/LEVER</t>
        </is>
      </c>
      <c r="F281" s="24" t="n">
        <v>23.8</v>
      </c>
      <c r="G281" s="23" t="n">
        <v>1</v>
      </c>
      <c r="H281" s="23" t="inlineStr">
        <is>
          <t>—</t>
        </is>
      </c>
    </row>
    <row r="282">
      <c r="A282" s="23" t="n">
        <v>278</v>
      </c>
      <c r="B282" s="23" t="inlineStr">
        <is>
          <t>140489</t>
        </is>
      </c>
      <c r="C282" s="23" t="inlineStr">
        <is>
          <t>—</t>
        </is>
      </c>
      <c r="D282" s="23" t="inlineStr">
        <is>
          <t>760501</t>
        </is>
      </c>
      <c r="E282" s="23" t="inlineStr">
        <is>
          <t>SPARE BIOREFRESH FRONT CURVED KEYPAD PANEL</t>
        </is>
      </c>
      <c r="F282" s="24" t="n">
        <v>17.5</v>
      </c>
      <c r="G282" s="23" t="n">
        <v>1</v>
      </c>
      <c r="H282" s="23" t="inlineStr">
        <is>
          <t>—</t>
        </is>
      </c>
    </row>
    <row r="283">
      <c r="A283" s="23" t="n">
        <v>279</v>
      </c>
      <c r="B283" s="23" t="inlineStr">
        <is>
          <t>—</t>
        </is>
      </c>
      <c r="C283" s="23" t="inlineStr">
        <is>
          <t>750100</t>
        </is>
      </c>
      <c r="D283" s="23" t="inlineStr">
        <is>
          <t>760502</t>
        </is>
      </c>
      <c r="E283" s="23" t="inlineStr">
        <is>
          <t>SPARE ECOCHIC DRIP TRAY W/GRILL</t>
        </is>
      </c>
      <c r="F283" s="24" t="n">
        <v>33.15</v>
      </c>
      <c r="G283" s="23" t="n">
        <v>1</v>
      </c>
      <c r="H283" s="23" t="inlineStr">
        <is>
          <t>—</t>
        </is>
      </c>
    </row>
    <row r="284">
      <c r="A284" s="23" t="n">
        <v>280</v>
      </c>
      <c r="B284" s="23" t="inlineStr">
        <is>
          <t>—</t>
        </is>
      </c>
      <c r="C284" s="23" t="inlineStr">
        <is>
          <t>750147</t>
        </is>
      </c>
      <c r="D284" s="23" t="inlineStr">
        <is>
          <t>760503</t>
        </is>
      </c>
      <c r="E284" s="23" t="inlineStr">
        <is>
          <t>SPARE HOT SAFETY VALVE 6BAR 1/8"M</t>
        </is>
      </c>
      <c r="F284" s="24" t="n">
        <v>17.6</v>
      </c>
      <c r="G284" s="23" t="n">
        <v>1</v>
      </c>
      <c r="H284" s="23" t="inlineStr">
        <is>
          <t>—</t>
        </is>
      </c>
    </row>
    <row r="285">
      <c r="A285" s="23" t="n">
        <v>281</v>
      </c>
      <c r="B285" s="23" t="inlineStr">
        <is>
          <t>150204</t>
        </is>
      </c>
      <c r="C285" s="23" t="inlineStr">
        <is>
          <t>—</t>
        </is>
      </c>
      <c r="D285" s="23" t="inlineStr">
        <is>
          <t>760504</t>
        </is>
      </c>
      <c r="E285" s="23" t="inlineStr">
        <is>
          <t>SPARE 3UV INVERTER</t>
        </is>
      </c>
      <c r="F285" s="24" t="n">
        <v>46.65</v>
      </c>
      <c r="G285" s="23" t="n">
        <v>1</v>
      </c>
      <c r="H285" s="6" t="inlineStr">
        <is>
          <t>BW-0409</t>
        </is>
      </c>
    </row>
    <row r="286">
      <c r="A286" s="23" t="n">
        <v>282</v>
      </c>
      <c r="B286" s="23" t="inlineStr">
        <is>
          <t>150096</t>
        </is>
      </c>
      <c r="C286" s="23" t="inlineStr">
        <is>
          <t>—</t>
        </is>
      </c>
      <c r="D286" s="23" t="inlineStr">
        <is>
          <t>760505</t>
        </is>
      </c>
      <c r="E286" s="23" t="inlineStr">
        <is>
          <t>SPARE UV IN LAMP 12W</t>
        </is>
      </c>
      <c r="F286" s="24" t="n">
        <v>49.5</v>
      </c>
      <c r="G286" s="23" t="n">
        <v>1</v>
      </c>
      <c r="H286" s="23" t="inlineStr">
        <is>
          <t>—</t>
        </is>
      </c>
    </row>
    <row r="287">
      <c r="A287" s="23" t="n">
        <v>283</v>
      </c>
      <c r="B287" s="23" t="inlineStr">
        <is>
          <t>140648</t>
        </is>
      </c>
      <c r="C287" s="23" t="inlineStr">
        <is>
          <t>—</t>
        </is>
      </c>
      <c r="D287" s="23" t="inlineStr">
        <is>
          <t>760506</t>
        </is>
      </c>
      <c r="E287" s="23" t="inlineStr">
        <is>
          <t>SPARE CO2 INLET FITTING CARBONATOR</t>
        </is>
      </c>
      <c r="F287" s="24" t="n">
        <v>39.65</v>
      </c>
      <c r="G287" s="23" t="n">
        <v>1</v>
      </c>
      <c r="H287" s="23" t="inlineStr">
        <is>
          <t>—</t>
        </is>
      </c>
    </row>
    <row r="288">
      <c r="A288" s="23" t="n">
        <v>284</v>
      </c>
      <c r="B288" s="23" t="inlineStr">
        <is>
          <t>150473</t>
        </is>
      </c>
      <c r="C288" s="23" t="inlineStr">
        <is>
          <t>750214</t>
        </is>
      </c>
      <c r="D288" s="23" t="inlineStr">
        <is>
          <t>760507</t>
        </is>
      </c>
      <c r="E288" s="23" t="inlineStr">
        <is>
          <t>SPARE BIOREFRESH HOT ELECTRONIC BOARD</t>
        </is>
      </c>
      <c r="F288" s="24" t="n">
        <v>68.3</v>
      </c>
      <c r="G288" s="23" t="n">
        <v>1</v>
      </c>
      <c r="H288" s="23" t="inlineStr">
        <is>
          <t>—</t>
        </is>
      </c>
    </row>
    <row r="289">
      <c r="A289" s="23" t="n">
        <v>285</v>
      </c>
      <c r="B289" s="23" t="inlineStr">
        <is>
          <t>150018</t>
        </is>
      </c>
      <c r="C289" s="23" t="inlineStr">
        <is>
          <t>—</t>
        </is>
      </c>
      <c r="D289" s="23" t="inlineStr">
        <is>
          <t>760508</t>
        </is>
      </c>
      <c r="E289" s="23" t="inlineStr">
        <is>
          <t>SPARE SOLENOID VALVE  1IN 8MM - 1OUT 8MM 24VAC</t>
        </is>
      </c>
      <c r="F289" s="24" t="n">
        <v>60.75</v>
      </c>
      <c r="G289" s="23" t="n">
        <v>1</v>
      </c>
      <c r="H289" s="23" t="inlineStr">
        <is>
          <t>—</t>
        </is>
      </c>
    </row>
    <row r="290">
      <c r="A290" s="23" t="n">
        <v>286</v>
      </c>
      <c r="B290" s="23" t="inlineStr">
        <is>
          <t>140476A</t>
        </is>
      </c>
      <c r="C290" s="23" t="inlineStr">
        <is>
          <t>—</t>
        </is>
      </c>
      <c r="D290" s="23" t="inlineStr">
        <is>
          <t>760509</t>
        </is>
      </c>
      <c r="E290" s="23" t="inlineStr">
        <is>
          <t>SPARE BIOREFRESH'22 DRIP TRAY WITH REAR DRAIN W/GRILL+FLOATING</t>
        </is>
      </c>
      <c r="F290" s="24" t="n">
        <v>28.1</v>
      </c>
      <c r="G290" s="23" t="n">
        <v>1</v>
      </c>
      <c r="H290" s="23" t="inlineStr">
        <is>
          <t>—</t>
        </is>
      </c>
    </row>
    <row r="291">
      <c r="A291" s="23" t="n">
        <v>287</v>
      </c>
      <c r="B291" s="23" t="inlineStr">
        <is>
          <t>120001</t>
        </is>
      </c>
      <c r="C291" s="23" t="inlineStr">
        <is>
          <t>—</t>
        </is>
      </c>
      <c r="D291" s="23" t="inlineStr">
        <is>
          <t>760510</t>
        </is>
      </c>
      <c r="E291" s="23" t="inlineStr">
        <is>
          <t>SPARE COMPRESSOR R290 1/3HP 220/240V 50HZ</t>
        </is>
      </c>
      <c r="F291" s="24" t="n">
        <v>174.6</v>
      </c>
      <c r="G291" s="23" t="n">
        <v>1</v>
      </c>
      <c r="H291" s="6" t="inlineStr">
        <is>
          <t>BW-0449</t>
        </is>
      </c>
    </row>
    <row r="292">
      <c r="A292" s="23" t="n">
        <v>288</v>
      </c>
      <c r="B292" s="23" t="inlineStr">
        <is>
          <t>810558</t>
        </is>
      </c>
      <c r="C292" s="23" t="inlineStr">
        <is>
          <t>—</t>
        </is>
      </c>
      <c r="D292" s="23" t="inlineStr">
        <is>
          <t>760512</t>
        </is>
      </c>
      <c r="E292" s="23" t="inlineStr">
        <is>
          <t>SPARE BLUSODA / FM WALL / BLUTOWER LED UVC OUT 64x60MM</t>
        </is>
      </c>
      <c r="F292" s="24" t="n">
        <v>66</v>
      </c>
      <c r="G292" s="23" t="n">
        <v>1</v>
      </c>
      <c r="H292" s="23" t="inlineStr">
        <is>
          <t>—</t>
        </is>
      </c>
    </row>
    <row r="293">
      <c r="A293" s="23" t="n">
        <v>289</v>
      </c>
      <c r="B293" s="23" t="inlineStr">
        <is>
          <t>130049</t>
        </is>
      </c>
      <c r="C293" s="23" t="inlineStr">
        <is>
          <t>—</t>
        </is>
      </c>
      <c r="D293" s="23" t="inlineStr">
        <is>
          <t>760513</t>
        </is>
      </c>
      <c r="E293" s="23" t="inlineStr">
        <is>
          <t>SPARE ROTARY PUMP 100 L/H MB104</t>
        </is>
      </c>
      <c r="F293" s="24" t="n">
        <v>75.59999999999999</v>
      </c>
      <c r="G293" s="23" t="n">
        <v>1</v>
      </c>
      <c r="H293" s="6" t="inlineStr">
        <is>
          <t>BW-0184</t>
        </is>
      </c>
    </row>
    <row r="294">
      <c r="A294" s="23" t="n">
        <v>290</v>
      </c>
      <c r="B294" s="23" t="inlineStr">
        <is>
          <t>—</t>
        </is>
      </c>
      <c r="C294" s="23" t="inlineStr">
        <is>
          <t>750245</t>
        </is>
      </c>
      <c r="D294" s="23" t="inlineStr">
        <is>
          <t>760514</t>
        </is>
      </c>
      <c r="E294" s="23" t="inlineStr">
        <is>
          <t>SPARE HYDRAZON CUP DISPENSER KIT</t>
        </is>
      </c>
      <c r="F294" s="24" t="n">
        <v>31</v>
      </c>
      <c r="G294" s="23" t="n">
        <v>1</v>
      </c>
      <c r="H294" s="23" t="inlineStr">
        <is>
          <t>—</t>
        </is>
      </c>
    </row>
    <row r="295">
      <c r="A295" s="23" t="n">
        <v>291</v>
      </c>
      <c r="B295" s="23" t="inlineStr">
        <is>
          <t>140262</t>
        </is>
      </c>
      <c r="C295" s="23" t="inlineStr">
        <is>
          <t>—</t>
        </is>
      </c>
      <c r="D295" s="23" t="inlineStr">
        <is>
          <t>760515</t>
        </is>
      </c>
      <c r="E295" s="23" t="inlineStr">
        <is>
          <t>SPARE 5M HOT SAFETY VALVE SILICONE TUBE D4x7MM NOT FOOD-GRADE</t>
        </is>
      </c>
      <c r="F295" s="24" t="n">
        <v>7.7</v>
      </c>
      <c r="G295" s="23" t="n">
        <v>1</v>
      </c>
      <c r="H295" s="23" t="inlineStr">
        <is>
          <t>—</t>
        </is>
      </c>
    </row>
    <row r="296">
      <c r="A296" s="23" t="n">
        <v>292</v>
      </c>
      <c r="B296" s="23" t="inlineStr">
        <is>
          <t>160452</t>
        </is>
      </c>
      <c r="C296" s="23" t="inlineStr">
        <is>
          <t>—</t>
        </is>
      </c>
      <c r="D296" s="23" t="inlineStr">
        <is>
          <t>760516</t>
        </is>
      </c>
      <c r="E296" s="23" t="inlineStr">
        <is>
          <t>SPARE N.5 PCS. COOL1 AMBIENT LABEL</t>
        </is>
      </c>
      <c r="F296" s="24" t="n">
        <v>14.5</v>
      </c>
      <c r="G296" s="23" t="n">
        <v>5</v>
      </c>
      <c r="H296" s="23" t="inlineStr">
        <is>
          <t>—</t>
        </is>
      </c>
    </row>
    <row r="297">
      <c r="A297" s="23" t="n">
        <v>293</v>
      </c>
      <c r="B297" s="23" t="inlineStr">
        <is>
          <t>160450</t>
        </is>
      </c>
      <c r="C297" s="23" t="inlineStr">
        <is>
          <t>—</t>
        </is>
      </c>
      <c r="D297" s="23" t="inlineStr">
        <is>
          <t>760517</t>
        </is>
      </c>
      <c r="E297" s="23" t="inlineStr">
        <is>
          <t>SPARE N.5 COOL1 FIZZ LABEL</t>
        </is>
      </c>
      <c r="F297" s="24" t="n">
        <v>14.5</v>
      </c>
      <c r="G297" s="23" t="n">
        <v>1</v>
      </c>
      <c r="H297" s="23" t="inlineStr">
        <is>
          <t>—</t>
        </is>
      </c>
    </row>
    <row r="298">
      <c r="A298" s="23" t="n">
        <v>294</v>
      </c>
      <c r="B298" s="23" t="inlineStr">
        <is>
          <t>140410</t>
        </is>
      </c>
      <c r="C298" s="23" t="inlineStr">
        <is>
          <t>—</t>
        </is>
      </c>
      <c r="D298" s="23" t="inlineStr">
        <is>
          <t>760518</t>
        </is>
      </c>
      <c r="E298" s="23" t="inlineStr">
        <is>
          <t>SPARE N.10 PCS. MALE CONNECTOR 8MM-BSP3/4"F CM320816FE</t>
        </is>
      </c>
      <c r="F298" s="24" t="n">
        <v>33</v>
      </c>
      <c r="G298" s="23" t="n">
        <v>10</v>
      </c>
      <c r="H298" s="23" t="inlineStr">
        <is>
          <t>—</t>
        </is>
      </c>
    </row>
    <row r="299">
      <c r="A299" s="23" t="n">
        <v>295</v>
      </c>
      <c r="B299" s="23" t="inlineStr">
        <is>
          <t>160501</t>
        </is>
      </c>
      <c r="C299" s="23" t="inlineStr">
        <is>
          <t>—</t>
        </is>
      </c>
      <c r="D299" s="23" t="inlineStr">
        <is>
          <t>760519</t>
        </is>
      </c>
      <c r="E299" s="23" t="inlineStr">
        <is>
          <t>SPARE SATIN-FINISH PRE-SPACED CULLIGAN LABEL</t>
        </is>
      </c>
      <c r="F299" s="24" t="n">
        <v>7.8</v>
      </c>
      <c r="G299" s="23" t="n">
        <v>1</v>
      </c>
      <c r="H299" s="23" t="inlineStr">
        <is>
          <t>—</t>
        </is>
      </c>
    </row>
    <row r="300">
      <c r="A300" s="23" t="n">
        <v>296</v>
      </c>
      <c r="B300" s="23" t="inlineStr">
        <is>
          <t>130119</t>
        </is>
      </c>
      <c r="C300" s="23" t="inlineStr">
        <is>
          <t>—</t>
        </is>
      </c>
      <c r="D300" s="23" t="inlineStr">
        <is>
          <t>760520</t>
        </is>
      </c>
      <c r="E300" s="23" t="inlineStr">
        <is>
          <t>SPARE N.10 PCS. ROTATING ELBOW FITTING 8MM-1/4"M W/O-RING E2L31011</t>
        </is>
      </c>
      <c r="F300" s="24" t="n">
        <v>38</v>
      </c>
      <c r="G300" s="23" t="n">
        <v>10</v>
      </c>
      <c r="H300" s="23" t="inlineStr">
        <is>
          <t>—</t>
        </is>
      </c>
    </row>
    <row r="301">
      <c r="A301" s="23" t="n">
        <v>297</v>
      </c>
      <c r="B301" s="23" t="inlineStr">
        <is>
          <t>140037</t>
        </is>
      </c>
      <c r="C301" s="23" t="inlineStr">
        <is>
          <t>—</t>
        </is>
      </c>
      <c r="D301" s="23" t="inlineStr">
        <is>
          <t>760521</t>
        </is>
      </c>
      <c r="E301" s="23" t="inlineStr">
        <is>
          <t>SPARE N. 10 PCS. MALE CONNECTOR 8MM-BSP3/8"M HPC08G03B</t>
        </is>
      </c>
      <c r="F301" s="24" t="n">
        <v>22</v>
      </c>
      <c r="G301" s="23" t="n">
        <v>10</v>
      </c>
      <c r="H301" s="23" t="inlineStr">
        <is>
          <t>—</t>
        </is>
      </c>
    </row>
    <row r="302">
      <c r="A302" s="23" t="n">
        <v>298</v>
      </c>
      <c r="B302" s="23" t="inlineStr">
        <is>
          <t>140661</t>
        </is>
      </c>
      <c r="C302" s="23" t="inlineStr">
        <is>
          <t>—</t>
        </is>
      </c>
      <c r="D302" s="23" t="inlineStr">
        <is>
          <t>760522</t>
        </is>
      </c>
      <c r="E302" s="23" t="inlineStr">
        <is>
          <t>SPARE N.10 PCS. BIOREFRESH / SELFIZZ SPARKLING PUSH BUTTON</t>
        </is>
      </c>
      <c r="F302" s="24" t="n">
        <v>17.5</v>
      </c>
      <c r="G302" s="23" t="n">
        <v>10</v>
      </c>
      <c r="H302" s="23" t="inlineStr">
        <is>
          <t>—</t>
        </is>
      </c>
    </row>
    <row r="303">
      <c r="A303" s="23" t="n">
        <v>299</v>
      </c>
      <c r="B303" s="23" t="inlineStr">
        <is>
          <t>140009</t>
        </is>
      </c>
      <c r="C303" s="23" t="inlineStr">
        <is>
          <t>—</t>
        </is>
      </c>
      <c r="D303" s="23" t="inlineStr">
        <is>
          <t>760523</t>
        </is>
      </c>
      <c r="E303" s="23" t="inlineStr">
        <is>
          <t>SPARE EVERPURE FILTER CARTRIDGE AC EV960112</t>
        </is>
      </c>
      <c r="F303" s="24" t="n">
        <v>39.8</v>
      </c>
      <c r="G303" s="23" t="n">
        <v>1</v>
      </c>
      <c r="H303" s="23" t="inlineStr">
        <is>
          <t>—</t>
        </is>
      </c>
    </row>
    <row r="304">
      <c r="A304" s="23" t="n">
        <v>300</v>
      </c>
      <c r="B304" s="23" t="inlineStr">
        <is>
          <t>—</t>
        </is>
      </c>
      <c r="C304" s="23" t="inlineStr">
        <is>
          <t>750237</t>
        </is>
      </c>
      <c r="D304" s="23" t="inlineStr">
        <is>
          <t>760524</t>
        </is>
      </c>
      <c r="E304" s="23" t="inlineStr">
        <is>
          <t>SPARE RETROFIT KIT FONTEMAGNA / BRIDGE OUTLET SOLENOID VALVE BEFORE 2018</t>
        </is>
      </c>
      <c r="F304" s="24" t="n">
        <v>24.1</v>
      </c>
      <c r="G304" s="23" t="n">
        <v>1</v>
      </c>
      <c r="H304" s="23" t="inlineStr">
        <is>
          <t>—</t>
        </is>
      </c>
    </row>
    <row r="305">
      <c r="A305" s="23" t="n">
        <v>301</v>
      </c>
      <c r="B305" s="23" t="inlineStr">
        <is>
          <t>140288</t>
        </is>
      </c>
      <c r="C305" s="23" t="inlineStr">
        <is>
          <t>—</t>
        </is>
      </c>
      <c r="D305" s="23" t="inlineStr">
        <is>
          <t>760525</t>
        </is>
      </c>
      <c r="E305" s="23" t="inlineStr">
        <is>
          <t>SPARE N.10 PCS. MALE CONNECTOR 8MM-BSP1/2"F PI451014FS</t>
        </is>
      </c>
      <c r="F305" s="24" t="n">
        <v>23.5</v>
      </c>
      <c r="G305" s="23" t="n">
        <v>10</v>
      </c>
      <c r="H305" s="23" t="inlineStr">
        <is>
          <t>—</t>
        </is>
      </c>
    </row>
    <row r="306">
      <c r="A306" s="23" t="n">
        <v>302</v>
      </c>
      <c r="B306" s="23" t="inlineStr">
        <is>
          <t>140660</t>
        </is>
      </c>
      <c r="C306" s="23" t="inlineStr">
        <is>
          <t>—</t>
        </is>
      </c>
      <c r="D306" s="23" t="inlineStr">
        <is>
          <t>760526</t>
        </is>
      </c>
      <c r="E306" s="23" t="inlineStr">
        <is>
          <t>SPARE N.10 PCS. BIOREFRESH / SELFIZZ AMBIENT PUSH BUTTON</t>
        </is>
      </c>
      <c r="F306" s="24" t="n">
        <v>17.5</v>
      </c>
      <c r="G306" s="23" t="n">
        <v>10</v>
      </c>
      <c r="H306" s="23" t="inlineStr">
        <is>
          <t>—</t>
        </is>
      </c>
    </row>
    <row r="307">
      <c r="A307" s="23" t="n">
        <v>303</v>
      </c>
      <c r="B307" s="23" t="inlineStr">
        <is>
          <t>—</t>
        </is>
      </c>
      <c r="C307" s="23" t="inlineStr">
        <is>
          <t>750015</t>
        </is>
      </c>
      <c r="D307" s="23" t="inlineStr">
        <is>
          <t>760527</t>
        </is>
      </c>
      <c r="E307" s="23" t="inlineStr">
        <is>
          <t>SPARE FONTEMAGNA FIZZ KEYPAD</t>
        </is>
      </c>
      <c r="F307" s="24" t="n">
        <v>129.9</v>
      </c>
      <c r="G307" s="23" t="n">
        <v>1</v>
      </c>
      <c r="H307" s="23" t="inlineStr">
        <is>
          <t>—</t>
        </is>
      </c>
    </row>
    <row r="308">
      <c r="A308" s="23" t="n">
        <v>304</v>
      </c>
      <c r="B308" s="23" t="inlineStr">
        <is>
          <t>120126</t>
        </is>
      </c>
      <c r="C308" s="23" t="inlineStr">
        <is>
          <t>—</t>
        </is>
      </c>
      <c r="D308" s="23" t="inlineStr">
        <is>
          <t>760528</t>
        </is>
      </c>
      <c r="E308" s="23" t="inlineStr">
        <is>
          <t>SPARE COMPRESSOR TL3CN CSIR R290 1/8HP 220/240V 50HZ</t>
        </is>
      </c>
      <c r="F308" s="24" t="n">
        <v>120</v>
      </c>
      <c r="G308" s="23" t="n">
        <v>1</v>
      </c>
      <c r="H308" s="23" t="inlineStr">
        <is>
          <t>—</t>
        </is>
      </c>
    </row>
    <row r="309">
      <c r="A309" s="23" t="n">
        <v>305</v>
      </c>
      <c r="B309" s="23" t="inlineStr">
        <is>
          <t>—</t>
        </is>
      </c>
      <c r="C309" s="23" t="inlineStr">
        <is>
          <t>750271</t>
        </is>
      </c>
      <c r="D309" s="23" t="inlineStr">
        <is>
          <t>760529</t>
        </is>
      </c>
      <c r="E309" s="23" t="inlineStr">
        <is>
          <t>SPARE WAVE SOLENOID VALVE R 3IN 1/4" - 1OUT 5/16" 24VAC W/BRACKET</t>
        </is>
      </c>
      <c r="F309" s="24" t="n">
        <v>33.7</v>
      </c>
      <c r="G309" s="23" t="n">
        <v>1</v>
      </c>
      <c r="H309" s="23" t="inlineStr">
        <is>
          <t>—</t>
        </is>
      </c>
    </row>
    <row r="310">
      <c r="A310" s="23" t="n">
        <v>306</v>
      </c>
      <c r="B310" s="23" t="inlineStr">
        <is>
          <t>140275</t>
        </is>
      </c>
      <c r="C310" s="23" t="inlineStr">
        <is>
          <t>—</t>
        </is>
      </c>
      <c r="D310" s="23" t="inlineStr">
        <is>
          <t>760531</t>
        </is>
      </c>
      <c r="E310" s="23" t="inlineStr">
        <is>
          <t>SPARE 3M FILTER CARTRIDGE</t>
        </is>
      </c>
      <c r="F310" s="24" t="n">
        <v>25</v>
      </c>
      <c r="G310" s="23" t="n">
        <v>1</v>
      </c>
      <c r="H310" s="23" t="inlineStr">
        <is>
          <t>—</t>
        </is>
      </c>
    </row>
    <row r="311">
      <c r="A311" s="23" t="n">
        <v>307</v>
      </c>
      <c r="B311" s="23" t="inlineStr">
        <is>
          <t>—</t>
        </is>
      </c>
      <c r="C311" s="23" t="inlineStr">
        <is>
          <t>750264</t>
        </is>
      </c>
      <c r="D311" s="23" t="inlineStr">
        <is>
          <t>760532</t>
        </is>
      </c>
      <c r="E311" s="23" t="inlineStr">
        <is>
          <t>SPARE BIOREFRESH SOLENOID VALVE 2IN - 1OUT W/BRACKET</t>
        </is>
      </c>
      <c r="F311" s="24" t="n">
        <v>26.7</v>
      </c>
      <c r="G311" s="23" t="n">
        <v>1</v>
      </c>
      <c r="H311" s="23" t="inlineStr">
        <is>
          <t>—</t>
        </is>
      </c>
    </row>
    <row r="312">
      <c r="A312" s="23" t="n">
        <v>308</v>
      </c>
      <c r="B312" s="23" t="inlineStr">
        <is>
          <t>810618</t>
        </is>
      </c>
      <c r="C312" s="23" t="inlineStr">
        <is>
          <t>—</t>
        </is>
      </c>
      <c r="D312" s="23" t="inlineStr">
        <is>
          <t>760534</t>
        </is>
      </c>
      <c r="E312" s="23" t="inlineStr">
        <is>
          <t>SPARE WAVE / ECOCHIC LED UVC OUT 79x61MM</t>
        </is>
      </c>
      <c r="F312" s="24" t="n">
        <v>66</v>
      </c>
      <c r="G312" s="23" t="n">
        <v>1</v>
      </c>
      <c r="H312" s="6" t="inlineStr">
        <is>
          <t>BW-0376</t>
        </is>
      </c>
    </row>
    <row r="313">
      <c r="A313" s="23" t="n">
        <v>309</v>
      </c>
      <c r="B313" s="23" t="inlineStr">
        <is>
          <t>140229</t>
        </is>
      </c>
      <c r="C313" s="23" t="inlineStr">
        <is>
          <t>—</t>
        </is>
      </c>
      <c r="D313" s="23" t="inlineStr">
        <is>
          <t>760536</t>
        </is>
      </c>
      <c r="E313" s="23" t="inlineStr">
        <is>
          <t>SPARE N.10 PCS. PLUG IN ELBOW FITTING 3/8"-3/8" PI221212S</t>
        </is>
      </c>
      <c r="F313" s="24" t="n">
        <v>21</v>
      </c>
      <c r="G313" s="23" t="n">
        <v>10</v>
      </c>
      <c r="H313" s="23" t="inlineStr">
        <is>
          <t>—</t>
        </is>
      </c>
    </row>
    <row r="314">
      <c r="A314" s="23" t="n">
        <v>310</v>
      </c>
      <c r="B314" s="23" t="inlineStr">
        <is>
          <t>160451</t>
        </is>
      </c>
      <c r="C314" s="23" t="inlineStr">
        <is>
          <t>—</t>
        </is>
      </c>
      <c r="D314" s="23" t="inlineStr">
        <is>
          <t>760537</t>
        </is>
      </c>
      <c r="E314" s="23" t="inlineStr">
        <is>
          <t>SPARE N.5 PCS. COOL1 COLD LABEL</t>
        </is>
      </c>
      <c r="F314" s="24" t="n">
        <v>14.5</v>
      </c>
      <c r="G314" s="23" t="n">
        <v>5</v>
      </c>
      <c r="H314" s="23" t="inlineStr">
        <is>
          <t>—</t>
        </is>
      </c>
    </row>
    <row r="315">
      <c r="A315" s="23" t="n">
        <v>311</v>
      </c>
      <c r="B315" s="23" t="inlineStr">
        <is>
          <t>140382</t>
        </is>
      </c>
      <c r="C315" s="23" t="inlineStr">
        <is>
          <t>—</t>
        </is>
      </c>
      <c r="D315" s="23" t="inlineStr">
        <is>
          <t>760538</t>
        </is>
      </c>
      <c r="E315" s="23" t="inlineStr">
        <is>
          <t>SPARE N.5 PCS. CHECK VALVE 5/16" HCVU0808B</t>
        </is>
      </c>
      <c r="F315" s="24" t="n">
        <v>48.5</v>
      </c>
      <c r="G315" s="23" t="n">
        <v>5</v>
      </c>
      <c r="H315" s="23" t="inlineStr">
        <is>
          <t>—</t>
        </is>
      </c>
    </row>
    <row r="316">
      <c r="A316" s="23" t="n">
        <v>312</v>
      </c>
      <c r="B316" s="23" t="inlineStr">
        <is>
          <t>—</t>
        </is>
      </c>
      <c r="C316" s="23" t="inlineStr">
        <is>
          <t>750135</t>
        </is>
      </c>
      <c r="D316" s="23" t="inlineStr">
        <is>
          <t>760539</t>
        </is>
      </c>
      <c r="E316" s="23" t="inlineStr">
        <is>
          <t>SPARE BLUBAR DRIP TRAY W/DRAIN W/GRILL</t>
        </is>
      </c>
      <c r="F316" s="24" t="n">
        <v>45.1</v>
      </c>
      <c r="G316" s="23" t="n">
        <v>1</v>
      </c>
      <c r="H316" s="23" t="inlineStr">
        <is>
          <t>—</t>
        </is>
      </c>
    </row>
    <row r="317">
      <c r="A317" s="23" t="n">
        <v>313</v>
      </c>
      <c r="B317" s="23" t="inlineStr">
        <is>
          <t>140658</t>
        </is>
      </c>
      <c r="C317" s="23" t="inlineStr">
        <is>
          <t>—</t>
        </is>
      </c>
      <c r="D317" s="23" t="inlineStr">
        <is>
          <t>760540</t>
        </is>
      </c>
      <c r="E317" s="23" t="inlineStr">
        <is>
          <t>SPARE BLUGLASS TOWER GLASS CAP FOR DRAIN</t>
        </is>
      </c>
      <c r="F317" s="24" t="n">
        <v>18</v>
      </c>
      <c r="G317" s="23" t="n">
        <v>1</v>
      </c>
      <c r="H317" s="23" t="inlineStr">
        <is>
          <t>—</t>
        </is>
      </c>
    </row>
    <row r="318">
      <c r="A318" s="23" t="n">
        <v>314</v>
      </c>
      <c r="B318" s="23" t="inlineStr">
        <is>
          <t>140497</t>
        </is>
      </c>
      <c r="C318" s="23" t="inlineStr">
        <is>
          <t>—</t>
        </is>
      </c>
      <c r="D318" s="23" t="inlineStr">
        <is>
          <t>760541</t>
        </is>
      </c>
      <c r="E318" s="23" t="inlineStr">
        <is>
          <t>SPARE BIOREFRESH CULLIGAN FILTER HEAD  W/CONNECTIONS 1/4"</t>
        </is>
      </c>
      <c r="F318" s="24" t="n">
        <v>18.75</v>
      </c>
      <c r="G318" s="23" t="n">
        <v>1</v>
      </c>
      <c r="H318" s="23" t="inlineStr">
        <is>
          <t>—</t>
        </is>
      </c>
    </row>
    <row r="319">
      <c r="A319" s="23" t="n">
        <v>315</v>
      </c>
      <c r="B319" s="23" t="inlineStr">
        <is>
          <t>130194</t>
        </is>
      </c>
      <c r="C319" s="23" t="inlineStr">
        <is>
          <t>—</t>
        </is>
      </c>
      <c r="D319" s="23" t="inlineStr">
        <is>
          <t>760542</t>
        </is>
      </c>
      <c r="E319" s="23" t="inlineStr">
        <is>
          <t>SPARE LEVEL PROBE FOR FIZZ TANK</t>
        </is>
      </c>
      <c r="F319" s="24" t="n">
        <v>10.1</v>
      </c>
      <c r="G319" s="23" t="n">
        <v>1</v>
      </c>
      <c r="H319" s="23" t="inlineStr">
        <is>
          <t>—</t>
        </is>
      </c>
    </row>
    <row r="320">
      <c r="A320" s="23" t="n">
        <v>316</v>
      </c>
      <c r="B320" s="23" t="inlineStr">
        <is>
          <t>120014</t>
        </is>
      </c>
      <c r="C320" s="23" t="inlineStr">
        <is>
          <t>—</t>
        </is>
      </c>
      <c r="D320" s="23" t="inlineStr">
        <is>
          <t>760544</t>
        </is>
      </c>
      <c r="E320" s="23" t="inlineStr">
        <is>
          <t>SPARE FONTEMAGNA 150 CONDENSER</t>
        </is>
      </c>
      <c r="F320" s="24" t="n">
        <v>55.5</v>
      </c>
      <c r="G320" s="23" t="n">
        <v>1</v>
      </c>
      <c r="H320" s="6" t="inlineStr">
        <is>
          <t>BW-0446</t>
        </is>
      </c>
    </row>
    <row r="321">
      <c r="A321" s="23" t="n">
        <v>317</v>
      </c>
      <c r="B321" s="23" t="inlineStr">
        <is>
          <t>130010</t>
        </is>
      </c>
      <c r="C321" s="23" t="inlineStr">
        <is>
          <t>—</t>
        </is>
      </c>
      <c r="D321" s="23" t="inlineStr">
        <is>
          <t>760545</t>
        </is>
      </c>
      <c r="E321" s="23" t="inlineStr">
        <is>
          <t>SPARE 1PROBE D63 OR.1,00 FOR 0,5L CARBONATOR</t>
        </is>
      </c>
      <c r="F321" s="24" t="n">
        <v>70.65000000000001</v>
      </c>
      <c r="G321" s="23" t="n">
        <v>1</v>
      </c>
      <c r="H321" s="23" t="inlineStr">
        <is>
          <t>—</t>
        </is>
      </c>
    </row>
    <row r="322">
      <c r="A322" s="23" t="n">
        <v>318</v>
      </c>
      <c r="B322" s="23" t="inlineStr">
        <is>
          <t>140664</t>
        </is>
      </c>
      <c r="C322" s="23" t="inlineStr">
        <is>
          <t>—</t>
        </is>
      </c>
      <c r="D322" s="23" t="inlineStr">
        <is>
          <t>760546</t>
        </is>
      </c>
      <c r="E322" s="23" t="inlineStr">
        <is>
          <t>SPARE N.10 PCS. BIOREFRESH / SELFIZZ MIX PUSH BUTTON</t>
        </is>
      </c>
      <c r="F322" s="24" t="n">
        <v>17.5</v>
      </c>
      <c r="G322" s="23" t="n">
        <v>10</v>
      </c>
      <c r="H322" s="23" t="inlineStr">
        <is>
          <t>—</t>
        </is>
      </c>
    </row>
    <row r="323">
      <c r="A323" s="23" t="n">
        <v>319</v>
      </c>
      <c r="B323" s="23" t="inlineStr">
        <is>
          <t>150199</t>
        </is>
      </c>
      <c r="C323" s="23" t="inlineStr">
        <is>
          <t>—</t>
        </is>
      </c>
      <c r="D323" s="23" t="inlineStr">
        <is>
          <t>760547</t>
        </is>
      </c>
      <c r="E323" s="23" t="inlineStr">
        <is>
          <t>SPARE TOP CONTROL ELECTRICAL BOX FEGR015 NO KEYPAD</t>
        </is>
      </c>
      <c r="F323" s="24" t="n">
        <v>108.25</v>
      </c>
      <c r="G323" s="23" t="n">
        <v>1</v>
      </c>
      <c r="H323" s="23" t="inlineStr">
        <is>
          <t>—</t>
        </is>
      </c>
    </row>
    <row r="324">
      <c r="A324" s="23" t="n">
        <v>320</v>
      </c>
      <c r="B324" s="23" t="inlineStr">
        <is>
          <t>—</t>
        </is>
      </c>
      <c r="C324" s="23" t="inlineStr">
        <is>
          <t>750046</t>
        </is>
      </c>
      <c r="D324" s="23" t="inlineStr">
        <is>
          <t>760548</t>
        </is>
      </c>
      <c r="E324" s="23" t="inlineStr">
        <is>
          <t>SPARE ECOCHIC DRIP TRAY W/DRAIN W/GRILL</t>
        </is>
      </c>
      <c r="F324" s="24" t="n">
        <v>42</v>
      </c>
      <c r="G324" s="23" t="n">
        <v>1</v>
      </c>
      <c r="H324" s="23" t="inlineStr">
        <is>
          <t>—</t>
        </is>
      </c>
    </row>
    <row r="325">
      <c r="A325" s="23" t="n">
        <v>321</v>
      </c>
      <c r="B325" s="23" t="inlineStr">
        <is>
          <t>140596</t>
        </is>
      </c>
      <c r="C325" s="23" t="inlineStr">
        <is>
          <t>—</t>
        </is>
      </c>
      <c r="D325" s="23" t="inlineStr">
        <is>
          <t>760549</t>
        </is>
      </c>
      <c r="E325" s="23" t="inlineStr">
        <is>
          <t>SPARE POST RO FILTER GAC 1/4"</t>
        </is>
      </c>
      <c r="F325" s="24" t="n">
        <v>8.85</v>
      </c>
      <c r="G325" s="23" t="n">
        <v>1</v>
      </c>
      <c r="H325" s="23" t="inlineStr">
        <is>
          <t>—</t>
        </is>
      </c>
    </row>
    <row r="326">
      <c r="A326" s="23" t="n">
        <v>322</v>
      </c>
      <c r="B326" s="23" t="inlineStr">
        <is>
          <t>—</t>
        </is>
      </c>
      <c r="C326" s="23" t="inlineStr">
        <is>
          <t>750151</t>
        </is>
      </c>
      <c r="D326" s="23" t="inlineStr">
        <is>
          <t>760550</t>
        </is>
      </c>
      <c r="E326" s="23" t="inlineStr">
        <is>
          <t>SPARE BLUTOWER DRIP TRAY W/RUBBER PADS W/GRILL</t>
        </is>
      </c>
      <c r="F326" s="24" t="n">
        <v>47</v>
      </c>
      <c r="G326" s="23" t="n">
        <v>1</v>
      </c>
      <c r="H326" s="23" t="inlineStr">
        <is>
          <t>—</t>
        </is>
      </c>
    </row>
    <row r="327">
      <c r="A327" s="23" t="n">
        <v>323</v>
      </c>
      <c r="B327" s="23" t="inlineStr">
        <is>
          <t>140663</t>
        </is>
      </c>
      <c r="C327" s="23" t="inlineStr">
        <is>
          <t>—</t>
        </is>
      </c>
      <c r="D327" s="23" t="inlineStr">
        <is>
          <t>760551</t>
        </is>
      </c>
      <c r="E327" s="23" t="inlineStr">
        <is>
          <t>SPARE N.10 PCS. BIOREFRESH / SELFIZZ PADLOCK HOT PUSH BUTTON</t>
        </is>
      </c>
      <c r="F327" s="24" t="n">
        <v>17.5</v>
      </c>
      <c r="G327" s="23" t="n">
        <v>10</v>
      </c>
      <c r="H327" s="23" t="inlineStr">
        <is>
          <t>—</t>
        </is>
      </c>
    </row>
    <row r="328">
      <c r="A328" s="23" t="n">
        <v>324</v>
      </c>
      <c r="B328" s="23" t="inlineStr">
        <is>
          <t>140662</t>
        </is>
      </c>
      <c r="C328" s="23" t="inlineStr">
        <is>
          <t>—</t>
        </is>
      </c>
      <c r="D328" s="23" t="inlineStr">
        <is>
          <t>760552</t>
        </is>
      </c>
      <c r="E328" s="23" t="inlineStr">
        <is>
          <t>SPARE N.10 PCS. BIOREFRESH / SELFIZZ HOT PUSH BUTTON</t>
        </is>
      </c>
      <c r="F328" s="24" t="n">
        <v>17.5</v>
      </c>
      <c r="G328" s="23" t="n">
        <v>10</v>
      </c>
      <c r="H328" s="23" t="inlineStr">
        <is>
          <t>—</t>
        </is>
      </c>
    </row>
    <row r="329">
      <c r="A329" s="23" t="n">
        <v>325</v>
      </c>
      <c r="B329" s="23" t="inlineStr">
        <is>
          <t>110530</t>
        </is>
      </c>
      <c r="C329" s="23" t="inlineStr">
        <is>
          <t>—</t>
        </is>
      </c>
      <c r="D329" s="23" t="inlineStr">
        <is>
          <t>760553</t>
        </is>
      </c>
      <c r="E329" s="23" t="inlineStr">
        <is>
          <t>SPARE AB30 / BB30 LEFT PANEL</t>
        </is>
      </c>
      <c r="F329" s="24" t="n">
        <v>28.2</v>
      </c>
      <c r="G329" s="23" t="n">
        <v>1</v>
      </c>
      <c r="H329" s="23" t="inlineStr">
        <is>
          <t>—</t>
        </is>
      </c>
    </row>
    <row r="330">
      <c r="A330" s="23" t="n">
        <v>326</v>
      </c>
      <c r="B330" s="23" t="inlineStr">
        <is>
          <t>110084</t>
        </is>
      </c>
      <c r="C330" s="23" t="inlineStr">
        <is>
          <t>—</t>
        </is>
      </c>
      <c r="D330" s="23" t="inlineStr">
        <is>
          <t>760554</t>
        </is>
      </c>
      <c r="E330" s="23" t="inlineStr">
        <is>
          <t>SPARE WAVE 60 TOP COVER</t>
        </is>
      </c>
      <c r="F330" s="24" t="n">
        <v>19.45</v>
      </c>
      <c r="G330" s="23" t="n">
        <v>1</v>
      </c>
      <c r="H330" s="23" t="inlineStr">
        <is>
          <t>—</t>
        </is>
      </c>
    </row>
    <row r="331">
      <c r="A331" s="23" t="n">
        <v>327</v>
      </c>
      <c r="B331" s="23" t="inlineStr">
        <is>
          <t>150042</t>
        </is>
      </c>
      <c r="C331" s="23" t="inlineStr">
        <is>
          <t>—</t>
        </is>
      </c>
      <c r="D331" s="23" t="inlineStr">
        <is>
          <t>760555</t>
        </is>
      </c>
      <c r="E331" s="23" t="inlineStr">
        <is>
          <t>SPARE FONTEMAGNA ELECTRICAL BOX NO KEYPAD</t>
        </is>
      </c>
      <c r="F331" s="24" t="n">
        <v>80.75</v>
      </c>
      <c r="G331" s="23" t="n">
        <v>1</v>
      </c>
      <c r="H331" s="23" t="inlineStr">
        <is>
          <t>—</t>
        </is>
      </c>
    </row>
    <row r="332">
      <c r="A332" s="23" t="n">
        <v>328</v>
      </c>
      <c r="B332" s="23" t="inlineStr">
        <is>
          <t>140593</t>
        </is>
      </c>
      <c r="C332" s="23" t="inlineStr">
        <is>
          <t>—</t>
        </is>
      </c>
      <c r="D332" s="23" t="inlineStr">
        <is>
          <t>760556</t>
        </is>
      </c>
      <c r="E332" s="23" t="inlineStr">
        <is>
          <t>SPARE SEDIMENT FILTER</t>
        </is>
      </c>
      <c r="F332" s="24" t="n">
        <v>16.5</v>
      </c>
      <c r="G332" s="23" t="n">
        <v>1</v>
      </c>
      <c r="H332" s="23" t="inlineStr">
        <is>
          <t>—</t>
        </is>
      </c>
    </row>
    <row r="333">
      <c r="A333" s="23" t="n">
        <v>329</v>
      </c>
      <c r="B333" s="23" t="inlineStr">
        <is>
          <t>—</t>
        </is>
      </c>
      <c r="C333" s="23" t="inlineStr">
        <is>
          <t>750263</t>
        </is>
      </c>
      <c r="D333" s="23" t="inlineStr">
        <is>
          <t>760557</t>
        </is>
      </c>
      <c r="E333" s="23" t="inlineStr">
        <is>
          <t>SPARE BIOREFRESH SOLENOID VALVE TD 3IN 1/4" - 1OUT 8MM W/BRACKET</t>
        </is>
      </c>
      <c r="F333" s="24" t="n">
        <v>35.55</v>
      </c>
      <c r="G333" s="23" t="n">
        <v>1</v>
      </c>
      <c r="H333" s="23" t="inlineStr">
        <is>
          <t>—</t>
        </is>
      </c>
    </row>
    <row r="334">
      <c r="A334" s="23" t="n">
        <v>330</v>
      </c>
      <c r="B334" s="23" t="inlineStr">
        <is>
          <t>140659</t>
        </is>
      </c>
      <c r="C334" s="23" t="inlineStr">
        <is>
          <t>—</t>
        </is>
      </c>
      <c r="D334" s="23" t="inlineStr">
        <is>
          <t>760558</t>
        </is>
      </c>
      <c r="E334" s="23" t="inlineStr">
        <is>
          <t>SPARE N.10 PCS. BIOREFRESH / SELFIZZ COLD PUSH BUTTON</t>
        </is>
      </c>
      <c r="F334" s="24" t="n">
        <v>17.5</v>
      </c>
      <c r="G334" s="23" t="n">
        <v>10</v>
      </c>
      <c r="H334" s="23" t="inlineStr">
        <is>
          <t>—</t>
        </is>
      </c>
    </row>
    <row r="335">
      <c r="A335" s="23" t="n">
        <v>331</v>
      </c>
      <c r="B335" s="23" t="inlineStr">
        <is>
          <t>160569</t>
        </is>
      </c>
      <c r="C335" s="23" t="inlineStr">
        <is>
          <t>—</t>
        </is>
      </c>
      <c r="D335" s="23" t="inlineStr">
        <is>
          <t>760559</t>
        </is>
      </c>
      <c r="E335" s="23" t="inlineStr">
        <is>
          <t>SPARE BIOREFRESH HOT AND HOT FIZZ LEXAN LABEL CULLIGAN LOGO</t>
        </is>
      </c>
      <c r="F335" s="24" t="n">
        <v>5.75</v>
      </c>
      <c r="G335" s="23" t="n">
        <v>1</v>
      </c>
      <c r="H335" s="23" t="inlineStr">
        <is>
          <t>—</t>
        </is>
      </c>
    </row>
    <row r="336">
      <c r="A336" s="23" t="n">
        <v>332</v>
      </c>
      <c r="B336" s="23" t="inlineStr">
        <is>
          <t>150576</t>
        </is>
      </c>
      <c r="C336" s="23" t="inlineStr">
        <is>
          <t>—</t>
        </is>
      </c>
      <c r="D336" s="23" t="inlineStr">
        <is>
          <t>760560</t>
        </is>
      </c>
      <c r="E336" s="23" t="inlineStr">
        <is>
          <t>SPARE BLUGLASS TOWER TAP ELECTRONIC BOARD</t>
        </is>
      </c>
      <c r="F336" s="24" t="n">
        <v>54.1</v>
      </c>
      <c r="G336" s="23" t="n">
        <v>1</v>
      </c>
      <c r="H336" s="6" t="inlineStr">
        <is>
          <t>BW-0290</t>
        </is>
      </c>
    </row>
    <row r="337">
      <c r="A337" s="23" t="n">
        <v>333</v>
      </c>
      <c r="B337" s="23" t="inlineStr">
        <is>
          <t>150181</t>
        </is>
      </c>
      <c r="C337" s="23" t="inlineStr">
        <is>
          <t>—</t>
        </is>
      </c>
      <c r="D337" s="23" t="inlineStr">
        <is>
          <t>760561</t>
        </is>
      </c>
      <c r="E337" s="23" t="inlineStr">
        <is>
          <t>SPARE CITY QUARTZ UVC OUT 4W 79x63MM</t>
        </is>
      </c>
      <c r="F337" s="24" t="n">
        <v>49.45</v>
      </c>
      <c r="G337" s="23" t="n">
        <v>1</v>
      </c>
      <c r="H337" s="23" t="inlineStr">
        <is>
          <t>—</t>
        </is>
      </c>
    </row>
    <row r="338">
      <c r="A338" s="23" t="n">
        <v>334</v>
      </c>
      <c r="B338" s="23" t="inlineStr">
        <is>
          <t>150076</t>
        </is>
      </c>
      <c r="C338" s="23" t="inlineStr">
        <is>
          <t>—</t>
        </is>
      </c>
      <c r="D338" s="23" t="inlineStr">
        <is>
          <t>760562</t>
        </is>
      </c>
      <c r="E338" s="23" t="inlineStr">
        <is>
          <t>SPARE WAVE ELECTRICAL BOX NO KEYPAD</t>
        </is>
      </c>
      <c r="F338" s="24" t="n">
        <v>108.25</v>
      </c>
      <c r="G338" s="23" t="n">
        <v>1</v>
      </c>
      <c r="H338" s="23" t="inlineStr">
        <is>
          <t>—</t>
        </is>
      </c>
    </row>
    <row r="339">
      <c r="A339" s="23" t="n">
        <v>335</v>
      </c>
      <c r="B339" s="23" t="inlineStr">
        <is>
          <t>130026</t>
        </is>
      </c>
      <c r="C339" s="23" t="inlineStr">
        <is>
          <t>—</t>
        </is>
      </c>
      <c r="D339" s="23" t="inlineStr">
        <is>
          <t>760563</t>
        </is>
      </c>
      <c r="E339" s="23" t="inlineStr">
        <is>
          <t>SPARE BUBBLER TAP W/PUSH BUTTON</t>
        </is>
      </c>
      <c r="F339" s="24" t="n">
        <v>39.65</v>
      </c>
      <c r="G339" s="23" t="n">
        <v>1</v>
      </c>
      <c r="H339" s="23" t="inlineStr">
        <is>
          <t>—</t>
        </is>
      </c>
    </row>
    <row r="340">
      <c r="A340" s="23" t="n">
        <v>336</v>
      </c>
      <c r="B340" s="23" t="inlineStr">
        <is>
          <t>110178</t>
        </is>
      </c>
      <c r="C340" s="23" t="inlineStr">
        <is>
          <t>—</t>
        </is>
      </c>
      <c r="D340" s="23" t="inlineStr">
        <is>
          <t>760564</t>
        </is>
      </c>
      <c r="E340" s="23" t="inlineStr">
        <is>
          <t>SPARE ECOCHIC SUPPORT FOR DRIP TRAY</t>
        </is>
      </c>
      <c r="F340" s="24" t="n">
        <v>47.15</v>
      </c>
      <c r="G340" s="23" t="n">
        <v>1</v>
      </c>
      <c r="H340" s="23" t="inlineStr">
        <is>
          <t>—</t>
        </is>
      </c>
    </row>
    <row r="341">
      <c r="A341" s="23" t="n">
        <v>337</v>
      </c>
      <c r="B341" s="23" t="inlineStr">
        <is>
          <t>810211</t>
        </is>
      </c>
      <c r="C341" s="23" t="inlineStr">
        <is>
          <t>—</t>
        </is>
      </c>
      <c r="D341" s="23" t="inlineStr">
        <is>
          <t>760566</t>
        </is>
      </c>
      <c r="E341" s="23" t="inlineStr">
        <is>
          <t>SPARE SELFIZZ PAINTED RIGHT PANEL RAL9006</t>
        </is>
      </c>
      <c r="F341" s="24" t="n">
        <v>37.1</v>
      </c>
      <c r="G341" s="23" t="n">
        <v>1</v>
      </c>
      <c r="H341" s="23" t="inlineStr">
        <is>
          <t>—</t>
        </is>
      </c>
    </row>
    <row r="342">
      <c r="A342" s="23" t="n">
        <v>338</v>
      </c>
      <c r="B342" s="23" t="inlineStr">
        <is>
          <t>140066</t>
        </is>
      </c>
      <c r="C342" s="23" t="inlineStr">
        <is>
          <t>—</t>
        </is>
      </c>
      <c r="D342" s="23" t="inlineStr">
        <is>
          <t>760568</t>
        </is>
      </c>
      <c r="E342" s="23" t="inlineStr">
        <is>
          <t>SPARE WATER BLOCK RESET</t>
        </is>
      </c>
      <c r="F342" s="24" t="n">
        <v>5.75</v>
      </c>
      <c r="G342" s="23" t="n">
        <v>1</v>
      </c>
      <c r="H342" s="23" t="inlineStr">
        <is>
          <t>—</t>
        </is>
      </c>
    </row>
    <row r="343">
      <c r="A343" s="23" t="n">
        <v>339</v>
      </c>
      <c r="B343" s="23" t="inlineStr">
        <is>
          <t>140894</t>
        </is>
      </c>
      <c r="C343" s="23" t="inlineStr">
        <is>
          <t>750298</t>
        </is>
      </c>
      <c r="D343" s="23" t="inlineStr">
        <is>
          <t>760569</t>
        </is>
      </c>
      <c r="E343" s="23" t="inlineStr">
        <is>
          <t>SPARE BIOREFRESH'22 DRIP TRAY WITH DRAIN W/GRILL+FLOATING</t>
        </is>
      </c>
      <c r="F343" s="24" t="n">
        <v>28.1</v>
      </c>
      <c r="G343" s="23" t="n">
        <v>1</v>
      </c>
      <c r="H343" s="23" t="inlineStr">
        <is>
          <t>—</t>
        </is>
      </c>
    </row>
    <row r="344">
      <c r="A344" s="23" t="n">
        <v>340</v>
      </c>
      <c r="B344" s="23" t="inlineStr">
        <is>
          <t>150488</t>
        </is>
      </c>
      <c r="C344" s="23" t="inlineStr">
        <is>
          <t>—</t>
        </is>
      </c>
      <c r="D344" s="23" t="inlineStr">
        <is>
          <t>760570</t>
        </is>
      </c>
      <c r="E344" s="23" t="inlineStr">
        <is>
          <t>SPARE SOLENOID VALVE 1IN 1/4" - 2OUT 1/4" 24VAC</t>
        </is>
      </c>
      <c r="F344" s="24" t="n">
        <v>29.75</v>
      </c>
      <c r="G344" s="23" t="n">
        <v>1</v>
      </c>
      <c r="H344" s="23" t="inlineStr">
        <is>
          <t>—</t>
        </is>
      </c>
    </row>
    <row r="345">
      <c r="A345" s="23" t="n">
        <v>341</v>
      </c>
      <c r="B345" s="23" t="inlineStr">
        <is>
          <t>160057</t>
        </is>
      </c>
      <c r="C345" s="23" t="inlineStr">
        <is>
          <t>—</t>
        </is>
      </c>
      <c r="D345" s="23" t="inlineStr">
        <is>
          <t>760571</t>
        </is>
      </c>
      <c r="E345" s="23" t="inlineStr">
        <is>
          <t>SPARE FONTEMAGNA IT PUSH BUTTON LABELS</t>
        </is>
      </c>
      <c r="F345" s="24" t="n">
        <v>21</v>
      </c>
      <c r="G345" s="23" t="n">
        <v>1</v>
      </c>
      <c r="H345" s="23" t="inlineStr">
        <is>
          <t>—</t>
        </is>
      </c>
    </row>
    <row r="346">
      <c r="A346" s="23" t="n">
        <v>342</v>
      </c>
      <c r="B346" s="23" t="inlineStr">
        <is>
          <t>140357</t>
        </is>
      </c>
      <c r="C346" s="23" t="inlineStr">
        <is>
          <t>—</t>
        </is>
      </c>
      <c r="D346" s="23" t="inlineStr">
        <is>
          <t>760572</t>
        </is>
      </c>
      <c r="E346" s="23" t="inlineStr">
        <is>
          <t>SPARE 20M PYTHON 4 WAYS 8x6MM W/ISOLATION</t>
        </is>
      </c>
      <c r="F346" s="24" t="n">
        <v>243</v>
      </c>
      <c r="G346" s="23" t="n">
        <v>1</v>
      </c>
      <c r="H346" s="23" t="inlineStr">
        <is>
          <t>—</t>
        </is>
      </c>
    </row>
    <row r="347">
      <c r="A347" s="23" t="n">
        <v>343</v>
      </c>
      <c r="B347" s="23" t="inlineStr">
        <is>
          <t>150153</t>
        </is>
      </c>
      <c r="C347" s="23" t="inlineStr">
        <is>
          <t>—</t>
        </is>
      </c>
      <c r="D347" s="23" t="inlineStr">
        <is>
          <t>760573</t>
        </is>
      </c>
      <c r="E347" s="23" t="inlineStr">
        <is>
          <t>SPARE SOLENOID VALVE R 2IN M10x1 - 1OUT 1/4"M 24VAC</t>
        </is>
      </c>
      <c r="F347" s="24" t="n">
        <v>30.1</v>
      </c>
      <c r="G347" s="23" t="n">
        <v>1</v>
      </c>
      <c r="H347" s="23" t="inlineStr">
        <is>
          <t>—</t>
        </is>
      </c>
    </row>
    <row r="348">
      <c r="A348" s="23" t="n">
        <v>344</v>
      </c>
      <c r="B348" s="23" t="inlineStr">
        <is>
          <t>140074</t>
        </is>
      </c>
      <c r="C348" s="23" t="inlineStr">
        <is>
          <t>—</t>
        </is>
      </c>
      <c r="D348" s="23" t="inlineStr">
        <is>
          <t>760574</t>
        </is>
      </c>
      <c r="E348" s="23" t="inlineStr">
        <is>
          <t>SPARE FITTING 1IN 3/4"F - 1OUT 8MM E3120106</t>
        </is>
      </c>
      <c r="F348" s="24" t="n">
        <v>95</v>
      </c>
      <c r="G348" s="23" t="n">
        <v>1</v>
      </c>
      <c r="H348" s="23" t="inlineStr">
        <is>
          <t>—</t>
        </is>
      </c>
    </row>
    <row r="349">
      <c r="A349" s="23" t="n">
        <v>345</v>
      </c>
      <c r="B349" s="23" t="inlineStr">
        <is>
          <t>140322</t>
        </is>
      </c>
      <c r="C349" s="23" t="inlineStr">
        <is>
          <t>—</t>
        </is>
      </c>
      <c r="D349" s="23" t="inlineStr">
        <is>
          <t>760575</t>
        </is>
      </c>
      <c r="E349" s="23" t="inlineStr">
        <is>
          <t>SPARE AQUABAR DRIP TRAY W/GRILL</t>
        </is>
      </c>
      <c r="F349" s="24" t="n">
        <v>34.5</v>
      </c>
      <c r="G349" s="23" t="n">
        <v>1</v>
      </c>
      <c r="H349" s="23" t="inlineStr">
        <is>
          <t>—</t>
        </is>
      </c>
    </row>
    <row r="350">
      <c r="A350" s="23" t="n">
        <v>346</v>
      </c>
      <c r="B350" s="23" t="inlineStr">
        <is>
          <t>810255</t>
        </is>
      </c>
      <c r="C350" s="23" t="inlineStr">
        <is>
          <t>—</t>
        </is>
      </c>
      <c r="D350" s="23" t="inlineStr">
        <is>
          <t>760576</t>
        </is>
      </c>
      <c r="E350" s="23" t="inlineStr">
        <is>
          <t>SPARE HOT WATER TANK 1L 230V W/PROBE</t>
        </is>
      </c>
      <c r="F350" s="24" t="n">
        <v>96.8</v>
      </c>
      <c r="G350" s="23" t="n">
        <v>1</v>
      </c>
      <c r="H350" s="23" t="inlineStr">
        <is>
          <t>—</t>
        </is>
      </c>
    </row>
    <row r="351">
      <c r="A351" s="23" t="n">
        <v>347</v>
      </c>
      <c r="B351" s="23" t="inlineStr">
        <is>
          <t>—</t>
        </is>
      </c>
      <c r="C351" s="23" t="inlineStr">
        <is>
          <t>750124</t>
        </is>
      </c>
      <c r="D351" s="23" t="inlineStr">
        <is>
          <t>760578</t>
        </is>
      </c>
      <c r="E351" s="23" t="inlineStr">
        <is>
          <t>SPARE AQUABAR DRIP TRAY W/DRAIN W/GRILL</t>
        </is>
      </c>
      <c r="F351" s="24" t="n">
        <v>42</v>
      </c>
      <c r="G351" s="23" t="n">
        <v>1</v>
      </c>
      <c r="H351" s="23" t="inlineStr">
        <is>
          <t>—</t>
        </is>
      </c>
    </row>
    <row r="352">
      <c r="A352" s="23" t="n">
        <v>348</v>
      </c>
      <c r="B352" s="23" t="inlineStr">
        <is>
          <t>150485</t>
        </is>
      </c>
      <c r="C352" s="23" t="inlineStr">
        <is>
          <t>—</t>
        </is>
      </c>
      <c r="D352" s="23" t="inlineStr">
        <is>
          <t>760603</t>
        </is>
      </c>
      <c r="E352" s="23" t="inlineStr">
        <is>
          <t>SPARE SOLENOID VALVE 2 IN 1/4" - 1 OUT 5/16" W/BRACKET BLUSODA</t>
        </is>
      </c>
      <c r="F352" s="24" t="n">
        <v>26.7</v>
      </c>
      <c r="G352" s="23" t="n">
        <v>1</v>
      </c>
      <c r="H352" s="23" t="inlineStr">
        <is>
          <t>—</t>
        </is>
      </c>
    </row>
    <row r="353">
      <c r="A353" s="23" t="n">
        <v>349</v>
      </c>
      <c r="B353" s="23" t="inlineStr">
        <is>
          <t>120192</t>
        </is>
      </c>
      <c r="C353" s="23" t="inlineStr">
        <is>
          <t>750244</t>
        </is>
      </c>
      <c r="D353" s="23" t="inlineStr">
        <is>
          <t>760604</t>
        </is>
      </c>
      <c r="E353" s="23" t="inlineStr">
        <is>
          <t>SPARE FAN 120x120x25</t>
        </is>
      </c>
      <c r="F353" s="24" t="n">
        <v>24.8</v>
      </c>
      <c r="G353" s="23" t="n">
        <v>1</v>
      </c>
      <c r="H353" s="23" t="inlineStr">
        <is>
          <t>—</t>
        </is>
      </c>
    </row>
    <row r="354">
      <c r="A354" s="23" t="n">
        <v>350</v>
      </c>
      <c r="B354" s="23" t="inlineStr">
        <is>
          <t>—</t>
        </is>
      </c>
      <c r="C354" s="23" t="inlineStr">
        <is>
          <t>750376</t>
        </is>
      </c>
      <c r="D354" s="23" t="inlineStr">
        <is>
          <t>760605</t>
        </is>
      </c>
      <c r="E354" s="23" t="inlineStr">
        <is>
          <t>SPARE INLET SOLENOID VALVE IN 3/4"M - OUT 8MM 24V W/FITTING</t>
        </is>
      </c>
      <c r="F354" s="24" t="n">
        <v>26</v>
      </c>
      <c r="G354" s="23" t="n">
        <v>1</v>
      </c>
      <c r="H354" s="23" t="inlineStr">
        <is>
          <t>—</t>
        </is>
      </c>
    </row>
    <row r="355">
      <c r="A355" s="23" t="n">
        <v>351</v>
      </c>
      <c r="B355" s="23" t="inlineStr">
        <is>
          <t>141078</t>
        </is>
      </c>
      <c r="C355" s="23" t="inlineStr">
        <is>
          <t>—</t>
        </is>
      </c>
      <c r="D355" s="23" t="inlineStr">
        <is>
          <t>760606</t>
        </is>
      </c>
      <c r="E355" s="23" t="inlineStr">
        <is>
          <t>SPARE N.10 PCS. FITTING 3/4F - 8MM</t>
        </is>
      </c>
      <c r="F355" s="24" t="n">
        <v>62</v>
      </c>
      <c r="G355" s="23" t="n">
        <v>10</v>
      </c>
      <c r="H355" s="23" t="inlineStr">
        <is>
          <t>—</t>
        </is>
      </c>
    </row>
    <row r="356">
      <c r="A356" s="23" t="n">
        <v>352</v>
      </c>
      <c r="B356" s="23" t="inlineStr">
        <is>
          <t>141060</t>
        </is>
      </c>
      <c r="C356" s="23" t="inlineStr">
        <is>
          <t>—</t>
        </is>
      </c>
      <c r="D356" s="23" t="inlineStr">
        <is>
          <t>760607</t>
        </is>
      </c>
      <c r="E356" s="23" t="inlineStr">
        <is>
          <t>SPARE N.10 PCS. TEE FITTING 5/16" SUPERSEAL</t>
        </is>
      </c>
      <c r="F356" s="24" t="n">
        <v>48</v>
      </c>
      <c r="G356" s="23" t="n">
        <v>10</v>
      </c>
      <c r="H356" s="23" t="inlineStr">
        <is>
          <t>—</t>
        </is>
      </c>
    </row>
    <row r="357">
      <c r="A357" s="23" t="n">
        <v>353</v>
      </c>
      <c r="B357" s="23" t="inlineStr">
        <is>
          <t>—</t>
        </is>
      </c>
      <c r="C357" s="23" t="inlineStr">
        <is>
          <t>750378</t>
        </is>
      </c>
      <c r="D357" s="23" t="inlineStr">
        <is>
          <t>760608</t>
        </is>
      </c>
      <c r="E357" s="23" t="inlineStr">
        <is>
          <t>SPARE BLUSODA SOLENOID VALVE 3 IN 1/4" - 1 OUT 5/16" W/BRACKET</t>
        </is>
      </c>
      <c r="F357" s="24" t="n">
        <v>43</v>
      </c>
      <c r="G357" s="23" t="n">
        <v>1</v>
      </c>
      <c r="H357" s="23" t="inlineStr">
        <is>
          <t>—</t>
        </is>
      </c>
    </row>
    <row r="358">
      <c r="A358" s="23" t="n">
        <v>354</v>
      </c>
      <c r="B358" s="23" t="inlineStr">
        <is>
          <t>140379</t>
        </is>
      </c>
      <c r="C358" s="23" t="inlineStr">
        <is>
          <t>—</t>
        </is>
      </c>
      <c r="D358" s="23" t="inlineStr">
        <is>
          <t>760609</t>
        </is>
      </c>
      <c r="E358" s="23" t="inlineStr">
        <is>
          <t>SPARE ISOLATING CAP</t>
        </is>
      </c>
      <c r="F358" s="24" t="n">
        <v>2.45</v>
      </c>
      <c r="G358" s="23" t="n">
        <v>1</v>
      </c>
      <c r="H358" s="23" t="inlineStr">
        <is>
          <t>—</t>
        </is>
      </c>
    </row>
    <row r="359">
      <c r="A359" s="23" t="n">
        <v>355</v>
      </c>
      <c r="B359" s="23" t="inlineStr">
        <is>
          <t>150573</t>
        </is>
      </c>
      <c r="C359" s="23" t="inlineStr">
        <is>
          <t>—</t>
        </is>
      </c>
      <c r="D359" s="23" t="inlineStr">
        <is>
          <t>760610</t>
        </is>
      </c>
      <c r="E359" s="23" t="inlineStr">
        <is>
          <t>SPARE BIOREFRESH HOT WATER TANK TEMPERATURE PROBE</t>
        </is>
      </c>
      <c r="F359" s="24" t="n">
        <v>6.5</v>
      </c>
      <c r="G359" s="23" t="n">
        <v>1</v>
      </c>
      <c r="H359" s="23" t="inlineStr">
        <is>
          <t>—</t>
        </is>
      </c>
    </row>
    <row r="360">
      <c r="A360" s="23" t="n">
        <v>356</v>
      </c>
      <c r="B360" s="23" t="inlineStr">
        <is>
          <t>150846</t>
        </is>
      </c>
      <c r="C360" s="23" t="inlineStr">
        <is>
          <t>—</t>
        </is>
      </c>
      <c r="D360" s="23" t="inlineStr">
        <is>
          <t>760611</t>
        </is>
      </c>
      <c r="E360" s="23" t="inlineStr">
        <is>
          <t>SPARE MAIN CONTROL BOARD PLUS C-A-H</t>
        </is>
      </c>
      <c r="F360" s="24" t="n">
        <v>40.9</v>
      </c>
      <c r="G360" s="23" t="n">
        <v>1</v>
      </c>
      <c r="H360" s="23" t="inlineStr">
        <is>
          <t>—</t>
        </is>
      </c>
    </row>
    <row r="361">
      <c r="A361" s="23" t="n">
        <v>357</v>
      </c>
      <c r="B361" s="23" t="inlineStr">
        <is>
          <t>—</t>
        </is>
      </c>
      <c r="C361" s="23" t="inlineStr">
        <is>
          <t>750392</t>
        </is>
      </c>
      <c r="D361" s="23" t="inlineStr">
        <is>
          <t>760612</t>
        </is>
      </c>
      <c r="E361" s="23" t="inlineStr">
        <is>
          <t>SPARE BLUSODA SOLENOID VALVE 2 IN 6MM - 1 OUT 8MM 24VAC W/BRACKET</t>
        </is>
      </c>
      <c r="F361" s="24" t="n">
        <v>21</v>
      </c>
      <c r="G361" s="23" t="n">
        <v>1</v>
      </c>
      <c r="H361" s="23" t="inlineStr">
        <is>
          <t>—</t>
        </is>
      </c>
    </row>
    <row r="362">
      <c r="A362" s="23" t="n">
        <v>358</v>
      </c>
      <c r="B362" s="23" t="inlineStr">
        <is>
          <t>140906</t>
        </is>
      </c>
      <c r="C362" s="23" t="inlineStr">
        <is>
          <t>—</t>
        </is>
      </c>
      <c r="D362" s="23" t="inlineStr">
        <is>
          <t>760613</t>
        </is>
      </c>
      <c r="E362" s="23" t="inlineStr">
        <is>
          <t>SPARE 5M FOOD-GRADE SILICONE TUBE 8x12</t>
        </is>
      </c>
      <c r="F362" s="24" t="n">
        <v>46.5</v>
      </c>
      <c r="G362" s="23" t="n">
        <v>1</v>
      </c>
      <c r="H362" s="23" t="inlineStr">
        <is>
          <t>—</t>
        </is>
      </c>
    </row>
    <row r="363">
      <c r="A363" s="23" t="n">
        <v>359</v>
      </c>
      <c r="B363" s="23" t="inlineStr">
        <is>
          <t>810063</t>
        </is>
      </c>
      <c r="C363" s="23" t="inlineStr">
        <is>
          <t>—</t>
        </is>
      </c>
      <c r="D363" s="23" t="inlineStr">
        <is>
          <t>760614</t>
        </is>
      </c>
      <c r="E363" s="23" t="inlineStr">
        <is>
          <t>SPARE PREASSEMBLED BLUSODA HOT 45 FRONT PANEL</t>
        </is>
      </c>
      <c r="F363" s="24" t="n">
        <v>128.45</v>
      </c>
      <c r="G363" s="23" t="n">
        <v>1</v>
      </c>
      <c r="H363" s="23" t="inlineStr">
        <is>
          <t>—</t>
        </is>
      </c>
    </row>
    <row r="364">
      <c r="A364" s="23" t="n">
        <v>360</v>
      </c>
      <c r="B364" s="23" t="inlineStr">
        <is>
          <t>140386</t>
        </is>
      </c>
      <c r="C364" s="23" t="inlineStr">
        <is>
          <t>—</t>
        </is>
      </c>
      <c r="D364" s="23" t="inlineStr">
        <is>
          <t>760615</t>
        </is>
      </c>
      <c r="E364" s="23" t="inlineStr">
        <is>
          <t>SPARE ISOLATING CAP CARBONATOR BOWL 1 PROBE</t>
        </is>
      </c>
      <c r="F364" s="24" t="n">
        <v>2.45</v>
      </c>
      <c r="G364" s="23" t="n">
        <v>1</v>
      </c>
      <c r="H364" s="23" t="inlineStr">
        <is>
          <t>—</t>
        </is>
      </c>
    </row>
    <row r="365">
      <c r="A365" s="23" t="n">
        <v>361</v>
      </c>
      <c r="B365" s="23" t="inlineStr">
        <is>
          <t>140022</t>
        </is>
      </c>
      <c r="C365" s="23" t="inlineStr">
        <is>
          <t>—</t>
        </is>
      </c>
      <c r="D365" s="23" t="inlineStr">
        <is>
          <t>760616</t>
        </is>
      </c>
      <c r="E365" s="23" t="inlineStr">
        <is>
          <t>SPARE N.10 PCS. PM0408E UNION CONNECTOR 8MM-8MM</t>
        </is>
      </c>
      <c r="F365" s="24" t="n">
        <v>21</v>
      </c>
      <c r="G365" s="23" t="n">
        <v>10</v>
      </c>
      <c r="H365" s="23" t="inlineStr">
        <is>
          <t>—</t>
        </is>
      </c>
    </row>
    <row r="366">
      <c r="A366" s="23" t="n">
        <v>362</v>
      </c>
      <c r="B366" s="23" t="inlineStr">
        <is>
          <t>110233A</t>
        </is>
      </c>
      <c r="C366" s="23" t="inlineStr">
        <is>
          <t>—</t>
        </is>
      </c>
      <c r="D366" s="23" t="inlineStr">
        <is>
          <t>760619</t>
        </is>
      </c>
      <c r="E366" s="23" t="inlineStr">
        <is>
          <t>SPARE OUTLET TUBE COVER</t>
        </is>
      </c>
      <c r="F366" s="24" t="n">
        <v>30.1</v>
      </c>
      <c r="G366" s="23" t="n">
        <v>1</v>
      </c>
      <c r="H366" s="23" t="inlineStr">
        <is>
          <t>—</t>
        </is>
      </c>
    </row>
    <row r="367">
      <c r="A367" s="23" t="n">
        <v>363</v>
      </c>
      <c r="B367" s="23" t="inlineStr">
        <is>
          <t>810439</t>
        </is>
      </c>
      <c r="C367" s="23" t="inlineStr">
        <is>
          <t>—</t>
        </is>
      </c>
      <c r="D367" s="23" t="inlineStr">
        <is>
          <t>760620</t>
        </is>
      </c>
      <c r="E367" s="23" t="inlineStr">
        <is>
          <t>SPARE STAINLESS STEEL PUSH BUTTON 12MM</t>
        </is>
      </c>
      <c r="F367" s="24" t="n">
        <v>6.4</v>
      </c>
      <c r="G367" s="23" t="n">
        <v>1</v>
      </c>
      <c r="H367" s="6" t="inlineStr">
        <is>
          <t>BW-0367</t>
        </is>
      </c>
    </row>
    <row r="368">
      <c r="A368" s="23" t="n">
        <v>364</v>
      </c>
      <c r="B368" s="23" t="inlineStr">
        <is>
          <t>150074</t>
        </is>
      </c>
      <c r="C368" s="23" t="inlineStr">
        <is>
          <t>—</t>
        </is>
      </c>
      <c r="D368" s="23" t="inlineStr">
        <is>
          <t>760621</t>
        </is>
      </c>
      <c r="E368" s="23" t="inlineStr">
        <is>
          <t>SPARE 2MT POWER CABLE WITH SCHUKO PLUG W.BOX/WALL</t>
        </is>
      </c>
      <c r="F368" s="24" t="n">
        <v>8.75</v>
      </c>
      <c r="G368" s="23" t="n">
        <v>1</v>
      </c>
      <c r="H368" s="6" t="inlineStr">
        <is>
          <t>BW-0371</t>
        </is>
      </c>
    </row>
    <row r="369">
      <c r="A369" s="23" t="n">
        <v>365</v>
      </c>
      <c r="B369" s="23" t="inlineStr">
        <is>
          <t>810366</t>
        </is>
      </c>
      <c r="C369" s="23" t="inlineStr">
        <is>
          <t>750309</t>
        </is>
      </c>
      <c r="D369" s="23" t="inlineStr">
        <is>
          <t>760622</t>
        </is>
      </c>
      <c r="E369" s="23" t="inlineStr">
        <is>
          <t>SPARE BLUGLASS TOWER KIT DRIP TRAY W/DRAIN</t>
        </is>
      </c>
      <c r="F369" s="24" t="n">
        <v>51.9</v>
      </c>
      <c r="G369" s="23" t="n">
        <v>1</v>
      </c>
      <c r="H369" s="6" t="inlineStr">
        <is>
          <t>BW-0295</t>
        </is>
      </c>
    </row>
    <row r="370">
      <c r="A370" s="23" t="n">
        <v>366</v>
      </c>
      <c r="B370" s="23" t="inlineStr">
        <is>
          <t>140024</t>
        </is>
      </c>
      <c r="C370" s="23" t="inlineStr">
        <is>
          <t>—</t>
        </is>
      </c>
      <c r="D370" s="23" t="inlineStr">
        <is>
          <t>760623</t>
        </is>
      </c>
      <c r="E370" s="23" t="inlineStr">
        <is>
          <t>SPARE N.10 PCS. PM010811E MALE CONNECTOR 1/8M-8MM</t>
        </is>
      </c>
      <c r="F370" s="24" t="n">
        <v>14</v>
      </c>
      <c r="G370" s="23" t="n">
        <v>10</v>
      </c>
      <c r="H370" s="23" t="inlineStr">
        <is>
          <t>—</t>
        </is>
      </c>
    </row>
    <row r="371">
      <c r="A371" s="23" t="n">
        <v>367</v>
      </c>
      <c r="B371" s="23" t="inlineStr">
        <is>
          <t>140277</t>
        </is>
      </c>
      <c r="C371" s="23" t="inlineStr">
        <is>
          <t>—</t>
        </is>
      </c>
      <c r="D371" s="23" t="inlineStr">
        <is>
          <t>760624</t>
        </is>
      </c>
      <c r="E371" s="23" t="inlineStr">
        <is>
          <t>SPARE N.10 PCS. PI011213S MALE CONNECTOR 3/8M BSP-3/8</t>
        </is>
      </c>
      <c r="F371" s="24" t="n">
        <v>22</v>
      </c>
      <c r="G371" s="23" t="n">
        <v>10</v>
      </c>
      <c r="H371" s="23" t="inlineStr">
        <is>
          <t>—</t>
        </is>
      </c>
    </row>
    <row r="372">
      <c r="A372" s="23" t="n">
        <v>368</v>
      </c>
      <c r="B372" s="23" t="inlineStr">
        <is>
          <t>140107</t>
        </is>
      </c>
      <c r="C372" s="23" t="inlineStr">
        <is>
          <t>—</t>
        </is>
      </c>
      <c r="D372" s="23" t="inlineStr">
        <is>
          <t>760625</t>
        </is>
      </c>
      <c r="E372" s="23" t="inlineStr">
        <is>
          <t>SPARE N.10 PCS. REDUCING ELBOW 3/8"-5/16"</t>
        </is>
      </c>
      <c r="F372" s="24" t="n">
        <v>27</v>
      </c>
      <c r="G372" s="23" t="n">
        <v>10</v>
      </c>
      <c r="H372" s="23" t="inlineStr">
        <is>
          <t>—</t>
        </is>
      </c>
    </row>
    <row r="373">
      <c r="A373" s="23" t="n">
        <v>369</v>
      </c>
      <c r="B373" s="23" t="inlineStr">
        <is>
          <t>140204</t>
        </is>
      </c>
      <c r="C373" s="23" t="inlineStr">
        <is>
          <t>—</t>
        </is>
      </c>
      <c r="D373" s="23" t="inlineStr">
        <is>
          <t>760626</t>
        </is>
      </c>
      <c r="E373" s="23" t="inlineStr">
        <is>
          <t>SPARE N.10 PCS. PI251012S TUBE TO HOSE STEM 5/16-3/8</t>
        </is>
      </c>
      <c r="F373" s="24" t="n">
        <v>20</v>
      </c>
      <c r="G373" s="23" t="n">
        <v>10</v>
      </c>
      <c r="H373" s="23" t="inlineStr">
        <is>
          <t>—</t>
        </is>
      </c>
    </row>
    <row r="374">
      <c r="A374" s="23" t="n">
        <v>370</v>
      </c>
      <c r="B374" s="23" t="inlineStr">
        <is>
          <t>140043</t>
        </is>
      </c>
      <c r="C374" s="23" t="inlineStr">
        <is>
          <t>—</t>
        </is>
      </c>
      <c r="D374" s="23" t="inlineStr">
        <is>
          <t>760627</t>
        </is>
      </c>
      <c r="E374" s="23" t="inlineStr">
        <is>
          <t>SPARE 10M PE BLACK TUBE D.3/8"</t>
        </is>
      </c>
      <c r="F374" s="24" t="n">
        <v>12.5</v>
      </c>
      <c r="G374" s="23" t="n">
        <v>1</v>
      </c>
      <c r="H374" s="23" t="inlineStr">
        <is>
          <t>—</t>
        </is>
      </c>
    </row>
    <row r="375">
      <c r="A375" s="23" t="n">
        <v>371</v>
      </c>
      <c r="B375" s="23" t="inlineStr">
        <is>
          <t>150963</t>
        </is>
      </c>
      <c r="C375" s="23" t="inlineStr">
        <is>
          <t>—</t>
        </is>
      </c>
      <c r="D375" s="23" t="inlineStr">
        <is>
          <t>760628</t>
        </is>
      </c>
      <c r="E375" s="23" t="inlineStr">
        <is>
          <t>SPARE WALL MOUNT POWER SUPPLY 100-240VAC 50/60HZ OUT 12V 2.0A 24W</t>
        </is>
      </c>
      <c r="F375" s="24" t="n">
        <v>8</v>
      </c>
      <c r="G375" s="23" t="n">
        <v>1</v>
      </c>
      <c r="H375" s="23" t="inlineStr">
        <is>
          <t>—</t>
        </is>
      </c>
    </row>
    <row r="376">
      <c r="A376" s="23" t="n">
        <v>372</v>
      </c>
      <c r="B376" s="23" t="inlineStr">
        <is>
          <t>810591</t>
        </is>
      </c>
      <c r="C376" s="23" t="inlineStr">
        <is>
          <t>—</t>
        </is>
      </c>
      <c r="D376" s="23" t="inlineStr">
        <is>
          <t>760629</t>
        </is>
      </c>
      <c r="E376" s="23" t="inlineStr">
        <is>
          <t>SPARE FLOW SWITCH 3/8 W/CONNECTOR</t>
        </is>
      </c>
      <c r="F376" s="24" t="n">
        <v>8.25</v>
      </c>
      <c r="G376" s="23" t="n">
        <v>1</v>
      </c>
      <c r="H376" s="23" t="inlineStr">
        <is>
          <t>—</t>
        </is>
      </c>
    </row>
    <row r="377">
      <c r="A377" s="23" t="n">
        <v>373</v>
      </c>
      <c r="B377" s="23" t="inlineStr">
        <is>
          <t>150961</t>
        </is>
      </c>
      <c r="C377" s="23" t="inlineStr">
        <is>
          <t>—</t>
        </is>
      </c>
      <c r="D377" s="23" t="inlineStr">
        <is>
          <t>760630</t>
        </is>
      </c>
      <c r="E377" s="23" t="inlineStr">
        <is>
          <t>SPARE STRIKE CONTROL ELECTRONICS</t>
        </is>
      </c>
      <c r="F377" s="24" t="n">
        <v>12.35</v>
      </c>
      <c r="G377" s="23" t="n">
        <v>1</v>
      </c>
      <c r="H377" s="23" t="inlineStr">
        <is>
          <t>—</t>
        </is>
      </c>
    </row>
    <row r="378">
      <c r="A378" s="23" t="n">
        <v>374</v>
      </c>
      <c r="B378" s="23" t="inlineStr">
        <is>
          <t>111728</t>
        </is>
      </c>
      <c r="C378" s="23" t="inlineStr">
        <is>
          <t>—</t>
        </is>
      </c>
      <c r="D378" s="23" t="inlineStr">
        <is>
          <t>760631</t>
        </is>
      </c>
      <c r="E378" s="23" t="inlineStr">
        <is>
          <t>SPARE BLACK BOX 80 CASING</t>
        </is>
      </c>
      <c r="F378" s="24" t="n">
        <v>45</v>
      </c>
      <c r="G378" s="23" t="n">
        <v>1</v>
      </c>
      <c r="H378" s="23" t="inlineStr">
        <is>
          <t>—</t>
        </is>
      </c>
    </row>
    <row r="379">
      <c r="A379" s="23" t="n">
        <v>375</v>
      </c>
      <c r="B379" s="23" t="inlineStr">
        <is>
          <t>111725</t>
        </is>
      </c>
      <c r="C379" s="23" t="inlineStr">
        <is>
          <t>—</t>
        </is>
      </c>
      <c r="D379" s="23" t="inlineStr">
        <is>
          <t>760632</t>
        </is>
      </c>
      <c r="E379" s="23" t="inlineStr">
        <is>
          <t>SPARE BLACK BOX 80 COVER</t>
        </is>
      </c>
      <c r="F379" s="24" t="n">
        <v>35</v>
      </c>
      <c r="G379" s="23" t="n">
        <v>1</v>
      </c>
      <c r="H379" s="23" t="inlineStr">
        <is>
          <t>—</t>
        </is>
      </c>
    </row>
    <row r="380">
      <c r="A380" s="23" t="n">
        <v>376</v>
      </c>
      <c r="B380" s="23" t="inlineStr">
        <is>
          <t>810327</t>
        </is>
      </c>
      <c r="C380" s="23" t="inlineStr">
        <is>
          <t>—</t>
        </is>
      </c>
      <c r="D380" s="23" t="inlineStr">
        <is>
          <t>760633</t>
        </is>
      </c>
      <c r="E380" s="23" t="inlineStr">
        <is>
          <t>SPARE AGITATOR - RECIRCULATION PUMP 230V</t>
        </is>
      </c>
      <c r="F380" s="24" t="n">
        <v>69.2</v>
      </c>
      <c r="G380" s="23" t="n">
        <v>1</v>
      </c>
      <c r="H380" s="6" t="inlineStr">
        <is>
          <t>BW-1071</t>
        </is>
      </c>
    </row>
    <row r="381">
      <c r="A381" s="23" t="n">
        <v>377</v>
      </c>
      <c r="B381" s="23" t="inlineStr">
        <is>
          <t>810710</t>
        </is>
      </c>
      <c r="C381" s="23" t="inlineStr">
        <is>
          <t>—</t>
        </is>
      </c>
      <c r="D381" s="23" t="inlineStr">
        <is>
          <t>760634</t>
        </is>
      </c>
      <c r="E381" s="23" t="inlineStr">
        <is>
          <t>SPARE BLUSODA BLACK 30 '22 PREASSEMBLED FRONT PANEL</t>
        </is>
      </c>
      <c r="F381" s="24" t="n">
        <v>100.85</v>
      </c>
      <c r="G381" s="23" t="n">
        <v>1</v>
      </c>
      <c r="H381" s="23" t="inlineStr">
        <is>
          <t>—</t>
        </is>
      </c>
    </row>
    <row r="382">
      <c r="A382" s="23" t="n">
        <v>378</v>
      </c>
      <c r="B382" s="23" t="inlineStr">
        <is>
          <t>110517A</t>
        </is>
      </c>
      <c r="C382" s="23" t="inlineStr">
        <is>
          <t>—</t>
        </is>
      </c>
      <c r="D382" s="23" t="inlineStr">
        <is>
          <t>760635</t>
        </is>
      </c>
      <c r="E382" s="23" t="inlineStr">
        <is>
          <t>SPARE BLUSODA BOX REAR PANEL</t>
        </is>
      </c>
      <c r="F382" s="24" t="n">
        <v>25.65</v>
      </c>
      <c r="G382" s="23" t="n">
        <v>1</v>
      </c>
      <c r="H382" s="23" t="inlineStr">
        <is>
          <t>—</t>
        </is>
      </c>
    </row>
    <row r="383">
      <c r="A383" s="23" t="n">
        <v>379</v>
      </c>
      <c r="B383" s="23" t="inlineStr">
        <is>
          <t>110602</t>
        </is>
      </c>
      <c r="C383" s="23" t="inlineStr">
        <is>
          <t>—</t>
        </is>
      </c>
      <c r="D383" s="23" t="inlineStr">
        <is>
          <t>760636</t>
        </is>
      </c>
      <c r="E383" s="23" t="inlineStr">
        <is>
          <t>SPARE BLUSODA BOX VENTILATION CONDUIT</t>
        </is>
      </c>
      <c r="F383" s="24" t="n">
        <v>22.35</v>
      </c>
      <c r="G383" s="23" t="n">
        <v>1</v>
      </c>
      <c r="H383" s="23" t="inlineStr">
        <is>
          <t>—</t>
        </is>
      </c>
    </row>
    <row r="384">
      <c r="A384" s="23" t="n">
        <v>380</v>
      </c>
      <c r="B384" s="23" t="inlineStr">
        <is>
          <t>150917</t>
        </is>
      </c>
      <c r="C384" s="23" t="inlineStr">
        <is>
          <t>—</t>
        </is>
      </c>
      <c r="D384" s="23" t="inlineStr">
        <is>
          <t>760637</t>
        </is>
      </c>
      <c r="E384" s="23" t="inlineStr">
        <is>
          <t>SPARE PRESSURE SWITCH 1BAR</t>
        </is>
      </c>
      <c r="F384" s="24" t="n">
        <v>9.800000000000001</v>
      </c>
      <c r="G384" s="23" t="n">
        <v>1</v>
      </c>
      <c r="H384" s="23" t="inlineStr">
        <is>
          <t>—</t>
        </is>
      </c>
    </row>
    <row r="385">
      <c r="A385" s="23" t="n">
        <v>381</v>
      </c>
      <c r="B385" s="23" t="inlineStr">
        <is>
          <t>150656</t>
        </is>
      </c>
      <c r="C385" s="23" t="inlineStr">
        <is>
          <t>—</t>
        </is>
      </c>
      <c r="D385" s="23" t="inlineStr">
        <is>
          <t>760638</t>
        </is>
      </c>
      <c r="E385" s="23" t="inlineStr">
        <is>
          <t>SPARE SELFIZZ FUSION MAIN CONTROL BOARD</t>
        </is>
      </c>
      <c r="F385" s="24" t="n">
        <v>53.25</v>
      </c>
      <c r="G385" s="23" t="n">
        <v>1</v>
      </c>
      <c r="H385" s="23" t="inlineStr">
        <is>
          <t>—</t>
        </is>
      </c>
    </row>
    <row r="386">
      <c r="A386" s="23" t="n">
        <v>382</v>
      </c>
      <c r="B386" s="23" t="inlineStr">
        <is>
          <t>130246</t>
        </is>
      </c>
      <c r="C386" s="23" t="inlineStr">
        <is>
          <t>—</t>
        </is>
      </c>
      <c r="D386" s="23" t="inlineStr">
        <is>
          <t>760639</t>
        </is>
      </c>
      <c r="E386" s="23" t="inlineStr">
        <is>
          <t>SPARE BOOSTER PUMP 220-240V 50/60HZ 150 PSI</t>
        </is>
      </c>
      <c r="F386" s="24" t="n">
        <v>152.85</v>
      </c>
      <c r="G386" s="23" t="n">
        <v>1</v>
      </c>
      <c r="H386" s="23" t="inlineStr">
        <is>
          <t>—</t>
        </is>
      </c>
    </row>
    <row r="387">
      <c r="A387" s="23" t="n">
        <v>383</v>
      </c>
      <c r="B387" s="23" t="inlineStr">
        <is>
          <t>140021</t>
        </is>
      </c>
      <c r="C387" s="23" t="inlineStr">
        <is>
          <t>—</t>
        </is>
      </c>
      <c r="D387" s="23" t="inlineStr">
        <is>
          <t>760640</t>
        </is>
      </c>
      <c r="E387" s="23" t="inlineStr">
        <is>
          <t>SPARE N.10 PCS. PI221210S PLUG IN ELBOW SF 3/8"-SF 5/16"</t>
        </is>
      </c>
      <c r="F387" s="24" t="n">
        <v>20</v>
      </c>
      <c r="G387" s="23" t="n">
        <v>10</v>
      </c>
      <c r="H387" s="23" t="inlineStr">
        <is>
          <t>—</t>
        </is>
      </c>
    </row>
    <row r="388">
      <c r="A388" s="23" t="n">
        <v>384</v>
      </c>
      <c r="B388" s="23" t="inlineStr">
        <is>
          <t>140104</t>
        </is>
      </c>
      <c r="C388" s="23" t="inlineStr">
        <is>
          <t>—</t>
        </is>
      </c>
      <c r="D388" s="23" t="inlineStr">
        <is>
          <t>760641</t>
        </is>
      </c>
      <c r="E388" s="23" t="inlineStr">
        <is>
          <t>SPARE N.10 PCS. HUL0606B ELBOW SF 6</t>
        </is>
      </c>
      <c r="F388" s="24" t="n">
        <v>22</v>
      </c>
      <c r="G388" s="23" t="n">
        <v>10</v>
      </c>
      <c r="H388" s="23" t="inlineStr">
        <is>
          <t>—</t>
        </is>
      </c>
    </row>
    <row r="389">
      <c r="A389" s="23" t="n">
        <v>385</v>
      </c>
      <c r="B389" s="23" t="inlineStr">
        <is>
          <t>140766</t>
        </is>
      </c>
      <c r="C389" s="23" t="inlineStr">
        <is>
          <t>—</t>
        </is>
      </c>
      <c r="D389" s="23" t="inlineStr">
        <is>
          <t>760642</t>
        </is>
      </c>
      <c r="E389" s="23" t="inlineStr">
        <is>
          <t>SPARE N.10 PCS. PI061208S REDUCER 3/8 - 1/4</t>
        </is>
      </c>
      <c r="F389" s="24" t="n">
        <v>19</v>
      </c>
      <c r="G389" s="23" t="n">
        <v>10</v>
      </c>
      <c r="H389" s="23" t="inlineStr">
        <is>
          <t>—</t>
        </is>
      </c>
    </row>
    <row r="390">
      <c r="A390" s="23" t="n">
        <v>386</v>
      </c>
      <c r="B390" s="23" t="inlineStr">
        <is>
          <t>810526</t>
        </is>
      </c>
      <c r="C390" s="23" t="inlineStr">
        <is>
          <t>—</t>
        </is>
      </c>
      <c r="D390" s="23" t="inlineStr">
        <is>
          <t>760643</t>
        </is>
      </c>
      <c r="E390" s="23" t="inlineStr">
        <is>
          <t>SPARE PREASSEMBLED KIT REMOTE SAFETY VALVE 190MM</t>
        </is>
      </c>
      <c r="F390" s="24" t="n">
        <v>9.6</v>
      </c>
      <c r="G390" s="23" t="n">
        <v>1</v>
      </c>
      <c r="H390" s="23" t="inlineStr">
        <is>
          <t>—</t>
        </is>
      </c>
    </row>
    <row r="391">
      <c r="A391" s="23" t="n">
        <v>387</v>
      </c>
      <c r="B391" s="23" t="inlineStr">
        <is>
          <t>140081</t>
        </is>
      </c>
      <c r="C391" s="23" t="inlineStr">
        <is>
          <t>—</t>
        </is>
      </c>
      <c r="D391" s="23" t="inlineStr">
        <is>
          <t>760644</t>
        </is>
      </c>
      <c r="E391" s="23" t="inlineStr">
        <is>
          <t>SPARE N.10 PCS. NCPI1212S-P BULKHEAD 3/8</t>
        </is>
      </c>
      <c r="F391" s="24" t="n">
        <v>31</v>
      </c>
      <c r="G391" s="23" t="n">
        <v>10</v>
      </c>
      <c r="H391" s="23" t="inlineStr">
        <is>
          <t>—</t>
        </is>
      </c>
    </row>
    <row r="392">
      <c r="A392" s="23" t="n">
        <v>388</v>
      </c>
      <c r="B392" s="23" t="inlineStr">
        <is>
          <t>140030</t>
        </is>
      </c>
      <c r="C392" s="23" t="inlineStr">
        <is>
          <t>—</t>
        </is>
      </c>
      <c r="D392" s="23" t="inlineStr">
        <is>
          <t>760645</t>
        </is>
      </c>
      <c r="E392" s="23" t="inlineStr">
        <is>
          <t>SPARE N.10 PCS. PI061210S REDUCER 3/8 - 5/16</t>
        </is>
      </c>
      <c r="F392" s="24" t="n">
        <v>19</v>
      </c>
      <c r="G392" s="23" t="n">
        <v>10</v>
      </c>
      <c r="H392" s="23" t="inlineStr">
        <is>
          <t>—</t>
        </is>
      </c>
    </row>
    <row r="393">
      <c r="A393" s="23" t="n">
        <v>389</v>
      </c>
      <c r="B393" s="23" t="inlineStr">
        <is>
          <t>140345</t>
        </is>
      </c>
      <c r="C393" s="23" t="inlineStr">
        <is>
          <t>—</t>
        </is>
      </c>
      <c r="D393" s="23" t="inlineStr">
        <is>
          <t>760646</t>
        </is>
      </c>
      <c r="E393" s="23" t="inlineStr">
        <is>
          <t>SPARE 3/8SCV CHECK VALVE 3/8</t>
        </is>
      </c>
      <c r="F393" s="24" t="n">
        <v>11.85</v>
      </c>
      <c r="G393" s="23" t="n">
        <v>1</v>
      </c>
      <c r="H393" s="23" t="inlineStr">
        <is>
          <t>—</t>
        </is>
      </c>
    </row>
    <row r="394">
      <c r="A394" s="23" t="n">
        <v>390</v>
      </c>
      <c r="B394" s="23" t="inlineStr">
        <is>
          <t>110053</t>
        </is>
      </c>
      <c r="C394" s="23" t="inlineStr">
        <is>
          <t>—</t>
        </is>
      </c>
      <c r="D394" s="23" t="inlineStr">
        <is>
          <t>760647</t>
        </is>
      </c>
      <c r="E394" s="23" t="inlineStr">
        <is>
          <t>SPARE FM BOX SMALL TOP COVER</t>
        </is>
      </c>
      <c r="F394" s="24" t="n">
        <v>20.6</v>
      </c>
      <c r="G394" s="23" t="n">
        <v>1</v>
      </c>
      <c r="H394" s="6" t="inlineStr">
        <is>
          <t>BW-0442</t>
        </is>
      </c>
    </row>
    <row r="395">
      <c r="A395" s="23" t="n">
        <v>391</v>
      </c>
      <c r="B395" s="23" t="inlineStr">
        <is>
          <t>110049A</t>
        </is>
      </c>
      <c r="C395" s="23" t="inlineStr">
        <is>
          <t>—</t>
        </is>
      </c>
      <c r="D395" s="23" t="inlineStr">
        <is>
          <t>760648</t>
        </is>
      </c>
      <c r="E395" s="23" t="inlineStr">
        <is>
          <t>SPARE FM BOX CASING BLUE/SS</t>
        </is>
      </c>
      <c r="F395" s="24" t="n">
        <v>84.45</v>
      </c>
      <c r="G395" s="23" t="n">
        <v>1</v>
      </c>
      <c r="H395" s="23" t="inlineStr">
        <is>
          <t>—</t>
        </is>
      </c>
    </row>
    <row r="396">
      <c r="A396" s="23" t="n">
        <v>392</v>
      </c>
      <c r="B396" s="23" t="inlineStr">
        <is>
          <t>140050</t>
        </is>
      </c>
      <c r="C396" s="23" t="inlineStr">
        <is>
          <t>—</t>
        </is>
      </c>
      <c r="D396" s="23" t="inlineStr">
        <is>
          <t>760649</t>
        </is>
      </c>
      <c r="E396" s="23" t="inlineStr">
        <is>
          <t>SPARE N.4 PCS. FONTEMAGNA FOOT D.60 H.40</t>
        </is>
      </c>
      <c r="F396" s="24" t="n">
        <v>6.2</v>
      </c>
      <c r="G396" s="23" t="n">
        <v>4</v>
      </c>
      <c r="H396" s="23" t="inlineStr">
        <is>
          <t>—</t>
        </is>
      </c>
    </row>
    <row r="397">
      <c r="A397" s="23" t="n">
        <v>393</v>
      </c>
      <c r="B397" s="23" t="inlineStr">
        <is>
          <t>151148</t>
        </is>
      </c>
      <c r="C397" s="23" t="inlineStr">
        <is>
          <t>—</t>
        </is>
      </c>
      <c r="D397" s="23" t="inlineStr">
        <is>
          <t>760650</t>
        </is>
      </c>
      <c r="E397" s="23" t="inlineStr">
        <is>
          <t>SPARE NEW 150 L/H THERMOSTAT</t>
        </is>
      </c>
      <c r="F397" s="24" t="n">
        <v>13.1</v>
      </c>
      <c r="G397" s="23" t="n">
        <v>1</v>
      </c>
      <c r="H397" s="23" t="inlineStr">
        <is>
          <t>—</t>
        </is>
      </c>
    </row>
    <row r="398">
      <c r="A398" s="23" t="n">
        <v>394</v>
      </c>
      <c r="B398" s="23" t="inlineStr">
        <is>
          <t>110052</t>
        </is>
      </c>
      <c r="C398" s="23" t="inlineStr">
        <is>
          <t>—</t>
        </is>
      </c>
      <c r="D398" s="23" t="inlineStr">
        <is>
          <t>760652</t>
        </is>
      </c>
      <c r="E398" s="23" t="inlineStr">
        <is>
          <t>SPARE FM BOX BIG TOP COVER</t>
        </is>
      </c>
      <c r="F398" s="24" t="n">
        <v>35.1</v>
      </c>
      <c r="G398" s="23" t="n">
        <v>1</v>
      </c>
      <c r="H398" s="6" t="inlineStr">
        <is>
          <t>BW-0445</t>
        </is>
      </c>
    </row>
    <row r="399">
      <c r="A399" s="23" t="n">
        <v>395</v>
      </c>
      <c r="B399" s="23" t="inlineStr">
        <is>
          <t>110134</t>
        </is>
      </c>
      <c r="C399" s="23" t="inlineStr">
        <is>
          <t>—</t>
        </is>
      </c>
      <c r="D399" s="23" t="inlineStr">
        <is>
          <t>760653</t>
        </is>
      </c>
      <c r="E399" s="23" t="inlineStr">
        <is>
          <t>SPARE BOX 60 TOP COVER</t>
        </is>
      </c>
      <c r="F399" s="24" t="n">
        <v>25.55</v>
      </c>
      <c r="G399" s="23" t="n">
        <v>1</v>
      </c>
      <c r="H399" s="23" t="inlineStr">
        <is>
          <t>—</t>
        </is>
      </c>
    </row>
    <row r="400">
      <c r="A400" s="23" t="n">
        <v>396</v>
      </c>
      <c r="B400" s="23" t="inlineStr">
        <is>
          <t>110133</t>
        </is>
      </c>
      <c r="C400" s="23" t="inlineStr">
        <is>
          <t>—</t>
        </is>
      </c>
      <c r="D400" s="23" t="inlineStr">
        <is>
          <t>760654</t>
        </is>
      </c>
      <c r="E400" s="23" t="inlineStr">
        <is>
          <t>SPARE BOX 60 CASING</t>
        </is>
      </c>
      <c r="F400" s="24" t="n">
        <v>65.90000000000001</v>
      </c>
      <c r="G400" s="23" t="n">
        <v>1</v>
      </c>
      <c r="H400" s="23" t="inlineStr">
        <is>
          <t>—</t>
        </is>
      </c>
    </row>
    <row r="401">
      <c r="A401" s="23" t="n">
        <v>397</v>
      </c>
      <c r="B401" s="23" t="inlineStr">
        <is>
          <t>110749A</t>
        </is>
      </c>
      <c r="C401" s="23" t="inlineStr">
        <is>
          <t>—</t>
        </is>
      </c>
      <c r="D401" s="23" t="inlineStr">
        <is>
          <t>760660</t>
        </is>
      </c>
      <c r="E401" s="23" t="inlineStr">
        <is>
          <t>SPARE BLUSODA BOX 45 REAR PANEL</t>
        </is>
      </c>
      <c r="F401" s="24" t="n">
        <v>34.7</v>
      </c>
      <c r="G401" s="23" t="n">
        <v>1</v>
      </c>
      <c r="H401" s="23" t="inlineStr">
        <is>
          <t>—</t>
        </is>
      </c>
    </row>
    <row r="402">
      <c r="A402" s="23" t="n">
        <v>398</v>
      </c>
      <c r="B402" s="23" t="inlineStr">
        <is>
          <t>110754</t>
        </is>
      </c>
      <c r="C402" s="23" t="inlineStr">
        <is>
          <t>—</t>
        </is>
      </c>
      <c r="D402" s="23" t="inlineStr">
        <is>
          <t>760661</t>
        </is>
      </c>
      <c r="E402" s="23" t="inlineStr">
        <is>
          <t>SPARE BLUSODA BOX 45 LEFT PANEL</t>
        </is>
      </c>
      <c r="F402" s="24" t="n">
        <v>22.45</v>
      </c>
      <c r="G402" s="23" t="n">
        <v>1</v>
      </c>
      <c r="H402" s="23" t="inlineStr">
        <is>
          <t>—</t>
        </is>
      </c>
    </row>
    <row r="403">
      <c r="A403" s="23" t="n">
        <v>399</v>
      </c>
      <c r="B403" s="23" t="inlineStr">
        <is>
          <t>110750</t>
        </is>
      </c>
      <c r="C403" s="23" t="inlineStr">
        <is>
          <t>—</t>
        </is>
      </c>
      <c r="D403" s="23" t="inlineStr">
        <is>
          <t>760662</t>
        </is>
      </c>
      <c r="E403" s="23" t="inlineStr">
        <is>
          <t>SPARE BLUSODA BOX 45 CONVEYOR</t>
        </is>
      </c>
      <c r="F403" s="24" t="n">
        <v>22.35</v>
      </c>
      <c r="G403" s="23" t="n">
        <v>1</v>
      </c>
      <c r="H403" s="23" t="inlineStr">
        <is>
          <t>—</t>
        </is>
      </c>
    </row>
    <row r="404">
      <c r="A404" s="23" t="n">
        <v>400</v>
      </c>
      <c r="B404" s="23" t="inlineStr">
        <is>
          <t>110753</t>
        </is>
      </c>
      <c r="C404" s="23" t="inlineStr">
        <is>
          <t>—</t>
        </is>
      </c>
      <c r="D404" s="23" t="inlineStr">
        <is>
          <t>760663</t>
        </is>
      </c>
      <c r="E404" s="23" t="inlineStr">
        <is>
          <t>SPARE BLUSODA BOX 45 RIGHT PANEL</t>
        </is>
      </c>
      <c r="F404" s="24" t="n">
        <v>22.45</v>
      </c>
      <c r="G404" s="23" t="n">
        <v>1</v>
      </c>
      <c r="H404" s="23" t="inlineStr">
        <is>
          <t>—</t>
        </is>
      </c>
    </row>
    <row r="405">
      <c r="A405" s="23" t="n">
        <v>401</v>
      </c>
      <c r="B405" s="23" t="inlineStr">
        <is>
          <t>130173</t>
        </is>
      </c>
      <c r="C405" s="23" t="inlineStr">
        <is>
          <t>—</t>
        </is>
      </c>
      <c r="D405" s="23" t="inlineStr">
        <is>
          <t>760665</t>
        </is>
      </c>
      <c r="E405" s="23" t="inlineStr">
        <is>
          <t>SPARE MINI DUAL CHECK VALVE 1/2M-1/2M</t>
        </is>
      </c>
      <c r="F405" s="24" t="n">
        <v>28.75</v>
      </c>
      <c r="G405" s="23" t="n">
        <v>1</v>
      </c>
      <c r="H405" s="23" t="inlineStr">
        <is>
          <t>—</t>
        </is>
      </c>
    </row>
    <row r="406">
      <c r="A406" s="23" t="n">
        <v>402</v>
      </c>
      <c r="B406" s="23" t="inlineStr">
        <is>
          <t>160605</t>
        </is>
      </c>
      <c r="C406" s="23" t="inlineStr">
        <is>
          <t>—</t>
        </is>
      </c>
      <c r="D406" s="23" t="inlineStr">
        <is>
          <t>760666</t>
        </is>
      </c>
      <c r="E406" s="23" t="inlineStr">
        <is>
          <t>SPARE LEXAN LABEL PICCOLA HOT 15 AND HOT 15 FIZZ BLACK</t>
        </is>
      </c>
      <c r="F406" s="24" t="n">
        <v>5.15</v>
      </c>
      <c r="G406" s="23" t="n">
        <v>1</v>
      </c>
      <c r="H406" s="23" t="inlineStr">
        <is>
          <t>—</t>
        </is>
      </c>
    </row>
    <row r="407">
      <c r="A407" s="23" t="n">
        <v>403</v>
      </c>
      <c r="B407" s="23" t="inlineStr">
        <is>
          <t>150491</t>
        </is>
      </c>
      <c r="C407" s="23" t="inlineStr">
        <is>
          <t>750186</t>
        </is>
      </c>
      <c r="D407" s="23" t="inlineStr">
        <is>
          <t>760667</t>
        </is>
      </c>
      <c r="E407" s="23" t="inlineStr">
        <is>
          <t>SPARE PICCOLA HOT 15 FIZZ ELECTRIC BOARD KIT W/O CONTROL BOARD</t>
        </is>
      </c>
      <c r="F407" s="24" t="n">
        <v>15.9</v>
      </c>
      <c r="G407" s="23" t="n">
        <v>1</v>
      </c>
      <c r="H407" s="23" t="inlineStr">
        <is>
          <t>—</t>
        </is>
      </c>
    </row>
    <row r="408">
      <c r="A408" s="23" t="n">
        <v>404</v>
      </c>
      <c r="B408" s="23" t="inlineStr">
        <is>
          <t>140669</t>
        </is>
      </c>
      <c r="C408" s="23" t="inlineStr">
        <is>
          <t>—</t>
        </is>
      </c>
      <c r="D408" s="23" t="inlineStr">
        <is>
          <t>760668</t>
        </is>
      </c>
      <c r="E408" s="23" t="inlineStr">
        <is>
          <t>SPARE N. 10 PCS. PICCOLA/HYDRAZON HOT WATER SECURITY BUTTON</t>
        </is>
      </c>
      <c r="F408" s="24" t="n">
        <v>14.5</v>
      </c>
      <c r="G408" s="23" t="n">
        <v>10</v>
      </c>
      <c r="H408" s="23" t="inlineStr">
        <is>
          <t>—</t>
        </is>
      </c>
    </row>
    <row r="409">
      <c r="A409" s="23" t="n">
        <v>405</v>
      </c>
      <c r="B409" s="23" t="inlineStr">
        <is>
          <t>150493</t>
        </is>
      </c>
      <c r="C409" s="23" t="inlineStr">
        <is>
          <t>750184</t>
        </is>
      </c>
      <c r="D409" s="23" t="inlineStr">
        <is>
          <t>760669</t>
        </is>
      </c>
      <c r="E409" s="23" t="inlineStr">
        <is>
          <t>SPARE PICCOLA HOT 15 ELECTRIC BOARD KIT W/O CONTROL BOARD</t>
        </is>
      </c>
      <c r="F409" s="24" t="n">
        <v>15.9</v>
      </c>
      <c r="G409" s="23" t="n">
        <v>1</v>
      </c>
      <c r="H409" s="23" t="inlineStr">
        <is>
          <t>—</t>
        </is>
      </c>
    </row>
    <row r="410">
      <c r="A410" s="23" t="n">
        <v>406</v>
      </c>
      <c r="B410" s="23" t="inlineStr">
        <is>
          <t>150485</t>
        </is>
      </c>
      <c r="C410" s="23" t="inlineStr">
        <is>
          <t>—</t>
        </is>
      </c>
      <c r="D410" s="23" t="inlineStr">
        <is>
          <t>760670</t>
        </is>
      </c>
      <c r="E410" s="23" t="inlineStr">
        <is>
          <t>SPARE SOLENOID VALVE 2 IN 1/4" - 1 OUT 5/16" W/BRACKET SELFIZZ</t>
        </is>
      </c>
      <c r="F410" s="24" t="n">
        <v>26.7</v>
      </c>
      <c r="G410" s="23" t="n">
        <v>1</v>
      </c>
      <c r="H410" s="23" t="inlineStr">
        <is>
          <t>—</t>
        </is>
      </c>
    </row>
    <row r="411">
      <c r="A411" s="23" t="n">
        <v>407</v>
      </c>
      <c r="B411" s="23" t="inlineStr">
        <is>
          <t>130226</t>
        </is>
      </c>
      <c r="C411" s="23" t="inlineStr">
        <is>
          <t>—</t>
        </is>
      </c>
      <c r="D411" s="23" t="inlineStr">
        <is>
          <t>760671</t>
        </is>
      </c>
      <c r="E411" s="23" t="inlineStr">
        <is>
          <t>SPARE SOLENOID VALVE 3 IN 6MM - 1 OUT 8MM W/BRACKET BIOREFRESH</t>
        </is>
      </c>
      <c r="F411" s="24" t="n">
        <v>38.3</v>
      </c>
      <c r="G411" s="23" t="n">
        <v>1</v>
      </c>
      <c r="H411" s="23" t="inlineStr">
        <is>
          <t>—</t>
        </is>
      </c>
    </row>
    <row r="412">
      <c r="A412" s="23" t="n">
        <v>408</v>
      </c>
      <c r="B412" s="23" t="inlineStr">
        <is>
          <t>140843</t>
        </is>
      </c>
      <c r="C412" s="23" t="inlineStr">
        <is>
          <t>—</t>
        </is>
      </c>
      <c r="D412" s="23" t="inlineStr">
        <is>
          <t>760676</t>
        </is>
      </c>
      <c r="E412" s="23" t="inlineStr">
        <is>
          <t>SPARE BLUSODA 30 INJECTION DRIP TRAY W/SS BODY AND GRILL</t>
        </is>
      </c>
      <c r="F412" s="24" t="n">
        <v>39.85</v>
      </c>
      <c r="G412" s="23" t="n">
        <v>1</v>
      </c>
      <c r="H412" s="23" t="inlineStr">
        <is>
          <t>—</t>
        </is>
      </c>
    </row>
    <row r="413">
      <c r="A413" s="23" t="n">
        <v>409</v>
      </c>
      <c r="B413" s="23" t="inlineStr">
        <is>
          <t>140620</t>
        </is>
      </c>
      <c r="C413" s="23" t="inlineStr">
        <is>
          <t>—</t>
        </is>
      </c>
      <c r="D413" s="23" t="inlineStr">
        <is>
          <t>760677</t>
        </is>
      </c>
      <c r="E413" s="23" t="inlineStr">
        <is>
          <t>SPARE 3-BUTTON BLUGLASS 30 BLUE GLASS</t>
        </is>
      </c>
      <c r="F413" s="24" t="n">
        <v>56</v>
      </c>
      <c r="G413" s="23" t="n">
        <v>1</v>
      </c>
      <c r="H413" s="23" t="inlineStr">
        <is>
          <t>—</t>
        </is>
      </c>
    </row>
    <row r="414">
      <c r="A414" s="23" t="n">
        <v>410</v>
      </c>
      <c r="B414" s="23" t="inlineStr">
        <is>
          <t>810355</t>
        </is>
      </c>
      <c r="C414" s="23" t="inlineStr">
        <is>
          <t>—</t>
        </is>
      </c>
      <c r="D414" s="23" t="inlineStr">
        <is>
          <t>760678</t>
        </is>
      </c>
      <c r="E414" s="23" t="inlineStr">
        <is>
          <t>SPARE BLUE BLUGLASS 30 PREASSEMBLED SPOUT COVER</t>
        </is>
      </c>
      <c r="F414" s="24" t="n">
        <v>55.95</v>
      </c>
      <c r="G414" s="23" t="n">
        <v>1</v>
      </c>
      <c r="H414" s="23" t="inlineStr">
        <is>
          <t>—</t>
        </is>
      </c>
    </row>
    <row r="415">
      <c r="A415" s="23" t="n">
        <v>411</v>
      </c>
      <c r="B415" s="23" t="inlineStr">
        <is>
          <t>140566</t>
        </is>
      </c>
      <c r="C415" s="23" t="inlineStr">
        <is>
          <t>—</t>
        </is>
      </c>
      <c r="D415" s="23" t="inlineStr">
        <is>
          <t>760679</t>
        </is>
      </c>
      <c r="E415" s="23" t="inlineStr">
        <is>
          <t>SPARE BLUGLASS TOWER BLUE FRONT GLASS</t>
        </is>
      </c>
      <c r="F415" s="24" t="n">
        <v>54.7</v>
      </c>
      <c r="G415" s="23" t="n">
        <v>1</v>
      </c>
      <c r="H415" s="23" t="inlineStr">
        <is>
          <t>—</t>
        </is>
      </c>
    </row>
    <row r="416">
      <c r="A416" s="23" t="n">
        <v>412</v>
      </c>
      <c r="B416" s="23" t="inlineStr">
        <is>
          <t>140694</t>
        </is>
      </c>
      <c r="C416" s="23" t="inlineStr">
        <is>
          <t>—</t>
        </is>
      </c>
      <c r="D416" s="23" t="inlineStr">
        <is>
          <t>760681</t>
        </is>
      </c>
      <c r="E416" s="23" t="inlineStr">
        <is>
          <t>SPARE BLUGLASS TOWER ONE BLUE FRONT GLASS</t>
        </is>
      </c>
      <c r="F416" s="24" t="n">
        <v>51.6</v>
      </c>
      <c r="G416" s="23" t="n">
        <v>1</v>
      </c>
      <c r="H416" s="23" t="inlineStr">
        <is>
          <t>—</t>
        </is>
      </c>
    </row>
    <row r="417">
      <c r="A417" s="23" t="n">
        <v>413</v>
      </c>
      <c r="B417" s="23" t="inlineStr">
        <is>
          <t>150552</t>
        </is>
      </c>
      <c r="C417" s="23" t="inlineStr">
        <is>
          <t>—</t>
        </is>
      </c>
      <c r="D417" s="23" t="inlineStr">
        <is>
          <t>760682</t>
        </is>
      </c>
      <c r="E417" s="23" t="inlineStr">
        <is>
          <t>SPARE SOLENOID VALVE 3 IN 6MM - 1 OUT 8MM</t>
        </is>
      </c>
      <c r="F417" s="24" t="n">
        <v>38.3</v>
      </c>
      <c r="G417" s="23" t="n">
        <v>1</v>
      </c>
      <c r="H417" s="23" t="inlineStr">
        <is>
          <t>—</t>
        </is>
      </c>
    </row>
    <row r="418">
      <c r="A418" s="23" t="n">
        <v>414</v>
      </c>
      <c r="B418" s="23" t="inlineStr">
        <is>
          <t>111110</t>
        </is>
      </c>
      <c r="C418" s="23" t="inlineStr">
        <is>
          <t>—</t>
        </is>
      </c>
      <c r="D418" s="23" t="inlineStr">
        <is>
          <t>760683</t>
        </is>
      </c>
      <c r="E418" s="23" t="inlineStr">
        <is>
          <t>SPARE BLUGLASS TOWER ONE REAR PANEL</t>
        </is>
      </c>
      <c r="F418" s="24" t="n">
        <v>39.05</v>
      </c>
      <c r="G418" s="23" t="n">
        <v>1</v>
      </c>
      <c r="H418" s="6" t="inlineStr">
        <is>
          <t>BW-0401</t>
        </is>
      </c>
    </row>
    <row r="419">
      <c r="A419" s="23" t="n">
        <v>415</v>
      </c>
      <c r="B419" s="23" t="inlineStr">
        <is>
          <t>810434</t>
        </is>
      </c>
      <c r="C419" s="23" t="inlineStr">
        <is>
          <t>750222</t>
        </is>
      </c>
      <c r="D419" s="23" t="inlineStr">
        <is>
          <t>760684</t>
        </is>
      </c>
      <c r="E419" s="23" t="inlineStr">
        <is>
          <t>SPARE BLUGLASS TOWER ONE DRIP TRAY W/DRAIN</t>
        </is>
      </c>
      <c r="F419" s="24" t="n">
        <v>44</v>
      </c>
      <c r="G419" s="23" t="n">
        <v>1</v>
      </c>
      <c r="H419" s="23" t="inlineStr">
        <is>
          <t>—</t>
        </is>
      </c>
    </row>
    <row r="420">
      <c r="A420" s="23" t="n">
        <v>416</v>
      </c>
      <c r="B420" s="23" t="inlineStr">
        <is>
          <t>140876</t>
        </is>
      </c>
      <c r="C420" s="23" t="inlineStr">
        <is>
          <t>—</t>
        </is>
      </c>
      <c r="D420" s="23" t="inlineStr">
        <is>
          <t>760685</t>
        </is>
      </c>
      <c r="E420" s="23" t="inlineStr">
        <is>
          <t>SPARE HLJ0808B PLUG IN ELBOW FITTING SF 8MM-8MM</t>
        </is>
      </c>
      <c r="F420" s="24" t="n">
        <v>16.5</v>
      </c>
      <c r="G420" s="23" t="n">
        <v>1</v>
      </c>
      <c r="H420" s="23" t="inlineStr">
        <is>
          <t>—</t>
        </is>
      </c>
    </row>
    <row r="421">
      <c r="A421" s="23" t="n">
        <v>417</v>
      </c>
      <c r="B421" s="23" t="inlineStr">
        <is>
          <t>140543</t>
        </is>
      </c>
      <c r="C421" s="23" t="inlineStr">
        <is>
          <t>—</t>
        </is>
      </c>
      <c r="D421" s="23" t="inlineStr">
        <is>
          <t>760686</t>
        </is>
      </c>
      <c r="E421" s="23" t="inlineStr">
        <is>
          <t>SPARE N.10 PCS. BLUE CAP WATER IN/OUT FOR BLUPROTECTION</t>
        </is>
      </c>
      <c r="F421" s="24" t="n">
        <v>6.9</v>
      </c>
      <c r="G421" s="23" t="n">
        <v>10</v>
      </c>
      <c r="H421" s="23" t="inlineStr">
        <is>
          <t>—</t>
        </is>
      </c>
    </row>
    <row r="422">
      <c r="A422" s="23" t="n">
        <v>418</v>
      </c>
      <c r="B422" s="23" t="inlineStr">
        <is>
          <t>110484</t>
        </is>
      </c>
      <c r="C422" s="23" t="inlineStr">
        <is>
          <t>—</t>
        </is>
      </c>
      <c r="D422" s="23" t="inlineStr">
        <is>
          <t>760687</t>
        </is>
      </c>
      <c r="E422" s="23" t="inlineStr">
        <is>
          <t>SPARE HOT CARBONATOR LID</t>
        </is>
      </c>
      <c r="F422" s="24" t="n">
        <v>9.25</v>
      </c>
      <c r="G422" s="23" t="n">
        <v>1</v>
      </c>
      <c r="H422" s="23" t="inlineStr">
        <is>
          <t>—</t>
        </is>
      </c>
    </row>
    <row r="423">
      <c r="A423" s="23" t="n">
        <v>419</v>
      </c>
      <c r="B423" s="23" t="inlineStr">
        <is>
          <t>150485</t>
        </is>
      </c>
      <c r="C423" s="23" t="inlineStr">
        <is>
          <t>—</t>
        </is>
      </c>
      <c r="D423" s="23" t="inlineStr">
        <is>
          <t>760688</t>
        </is>
      </c>
      <c r="E423" s="23" t="inlineStr">
        <is>
          <t>SPARE SOLENOID VALVE 2 IN 1/4" - 1 OUT 5/16" W/BRACKET SELFIZZ NEO</t>
        </is>
      </c>
      <c r="F423" s="24" t="n">
        <v>26.7</v>
      </c>
      <c r="G423" s="23" t="n">
        <v>1</v>
      </c>
      <c r="H423" s="23" t="inlineStr">
        <is>
          <t>—</t>
        </is>
      </c>
    </row>
    <row r="424">
      <c r="A424" s="23" t="n">
        <v>420</v>
      </c>
      <c r="B424" s="23" t="inlineStr">
        <is>
          <t>110046</t>
        </is>
      </c>
      <c r="C424" s="23" t="inlineStr">
        <is>
          <t>—</t>
        </is>
      </c>
      <c r="D424" s="23" t="inlineStr">
        <is>
          <t>760689</t>
        </is>
      </c>
      <c r="E424" s="23" t="inlineStr">
        <is>
          <t>SPARE FONTEMAGNA COMPACT DRIP TRAY GRILL</t>
        </is>
      </c>
      <c r="F424" s="24" t="n">
        <v>27.1</v>
      </c>
      <c r="G424" s="23" t="n">
        <v>1</v>
      </c>
      <c r="H424" s="23" t="inlineStr">
        <is>
          <t>—</t>
        </is>
      </c>
    </row>
    <row r="425">
      <c r="A425" s="23" t="n">
        <v>421</v>
      </c>
      <c r="B425" s="23" t="inlineStr">
        <is>
          <t>110787</t>
        </is>
      </c>
      <c r="C425" s="23" t="inlineStr">
        <is>
          <t>—</t>
        </is>
      </c>
      <c r="D425" s="23" t="inlineStr">
        <is>
          <t>760690</t>
        </is>
      </c>
      <c r="E425" s="23" t="inlineStr">
        <is>
          <t>SPARE COOL1 FRONT PANEL</t>
        </is>
      </c>
      <c r="F425" s="24" t="n">
        <v>57.6</v>
      </c>
      <c r="G425" s="23" t="n">
        <v>1</v>
      </c>
      <c r="H425" s="23" t="inlineStr">
        <is>
          <t>—</t>
        </is>
      </c>
    </row>
    <row r="426">
      <c r="A426" s="23" t="n">
        <v>422</v>
      </c>
      <c r="B426" s="23" t="inlineStr">
        <is>
          <t>130086</t>
        </is>
      </c>
      <c r="C426" s="23" t="inlineStr">
        <is>
          <t>—</t>
        </is>
      </c>
      <c r="D426" s="23" t="inlineStr">
        <is>
          <t>760691</t>
        </is>
      </c>
      <c r="E426" s="23" t="inlineStr">
        <is>
          <t>SPARE FONTEMAGNA CITY OUTLET TURNED STAINLESS STEEL SPOUT</t>
        </is>
      </c>
      <c r="F426" s="24" t="n">
        <v>22.25</v>
      </c>
      <c r="G426" s="23" t="n">
        <v>1</v>
      </c>
      <c r="H426" s="23" t="inlineStr">
        <is>
          <t>—</t>
        </is>
      </c>
    </row>
    <row r="427">
      <c r="A427" s="23" t="n">
        <v>423</v>
      </c>
      <c r="B427" s="23" t="inlineStr">
        <is>
          <t>110953</t>
        </is>
      </c>
      <c r="C427" s="23" t="inlineStr">
        <is>
          <t>—</t>
        </is>
      </c>
      <c r="D427" s="23" t="inlineStr">
        <is>
          <t>760692</t>
        </is>
      </c>
      <c r="E427" s="23" t="inlineStr">
        <is>
          <t>SPARE PICCOLA BOX 15 FRONT PANEL</t>
        </is>
      </c>
      <c r="F427" s="24" t="n">
        <v>22.25</v>
      </c>
      <c r="G427" s="23" t="n">
        <v>1</v>
      </c>
      <c r="H427" s="23" t="inlineStr">
        <is>
          <t>—</t>
        </is>
      </c>
    </row>
    <row r="428">
      <c r="A428" s="23" t="n">
        <v>424</v>
      </c>
      <c r="B428" s="23" t="inlineStr">
        <is>
          <t>150839</t>
        </is>
      </c>
      <c r="C428" s="23" t="inlineStr">
        <is>
          <t>—</t>
        </is>
      </c>
      <c r="D428" s="23" t="inlineStr">
        <is>
          <t>760693</t>
        </is>
      </c>
      <c r="E428" s="23" t="inlineStr">
        <is>
          <t>SPARE MAIN CONTROL BOARD PICCOLA 15 FIZZ '21</t>
        </is>
      </c>
      <c r="F428" s="24" t="n">
        <v>29.95</v>
      </c>
      <c r="G428" s="23" t="n">
        <v>1</v>
      </c>
      <c r="H428" s="23" t="inlineStr">
        <is>
          <t>—</t>
        </is>
      </c>
    </row>
    <row r="429">
      <c r="A429" s="23" t="n">
        <v>425</v>
      </c>
      <c r="B429" s="23" t="inlineStr">
        <is>
          <t>160607</t>
        </is>
      </c>
      <c r="C429" s="23" t="inlineStr">
        <is>
          <t>—</t>
        </is>
      </c>
      <c r="D429" s="23" t="inlineStr">
        <is>
          <t>760694</t>
        </is>
      </c>
      <c r="E429" s="23" t="inlineStr">
        <is>
          <t>SPARE PICCOLA 15 LEXAN LABEL (BLACK)</t>
        </is>
      </c>
      <c r="F429" s="24" t="n">
        <v>5.15</v>
      </c>
      <c r="G429" s="23" t="n">
        <v>1</v>
      </c>
      <c r="H429" s="23" t="inlineStr">
        <is>
          <t>—</t>
        </is>
      </c>
    </row>
    <row r="430">
      <c r="A430" s="23" t="n">
        <v>426</v>
      </c>
      <c r="B430" s="23" t="inlineStr">
        <is>
          <t>150868</t>
        </is>
      </c>
      <c r="C430" s="23" t="inlineStr">
        <is>
          <t>—</t>
        </is>
      </c>
      <c r="D430" s="23" t="inlineStr">
        <is>
          <t>760695</t>
        </is>
      </c>
      <c r="E430" s="23" t="inlineStr">
        <is>
          <t>SPARE MAIN CONTROL BOARD PICCOLA 15 '21</t>
        </is>
      </c>
      <c r="F430" s="24" t="n">
        <v>40.9</v>
      </c>
      <c r="G430" s="23" t="n">
        <v>1</v>
      </c>
      <c r="H430" s="23" t="inlineStr">
        <is>
          <t>—</t>
        </is>
      </c>
    </row>
    <row r="431">
      <c r="A431" s="23" t="n">
        <v>427</v>
      </c>
      <c r="B431" s="23" t="inlineStr">
        <is>
          <t>150492</t>
        </is>
      </c>
      <c r="C431" s="23" t="inlineStr">
        <is>
          <t>750183</t>
        </is>
      </c>
      <c r="D431" s="23" t="inlineStr">
        <is>
          <t>760696</t>
        </is>
      </c>
      <c r="E431" s="23" t="inlineStr">
        <is>
          <t>SPARE PICCOLA 15 CONTROL BOARD KIT</t>
        </is>
      </c>
      <c r="F431" s="24" t="n">
        <v>15.9</v>
      </c>
      <c r="G431" s="23" t="n">
        <v>1</v>
      </c>
      <c r="H431" s="23" t="inlineStr">
        <is>
          <t>—</t>
        </is>
      </c>
    </row>
    <row r="432">
      <c r="A432" s="23" t="n">
        <v>428</v>
      </c>
      <c r="B432" s="23" t="inlineStr">
        <is>
          <t>160769</t>
        </is>
      </c>
      <c r="C432" s="23" t="inlineStr">
        <is>
          <t>—</t>
        </is>
      </c>
      <c r="D432" s="23" t="inlineStr">
        <is>
          <t>760697</t>
        </is>
      </c>
      <c r="E432" s="23" t="inlineStr">
        <is>
          <t>SPARE PICCOLA 15 FIZZ WHITE LEXAN LABEL</t>
        </is>
      </c>
      <c r="F432" s="24" t="n">
        <v>5</v>
      </c>
      <c r="G432" s="23" t="n">
        <v>1</v>
      </c>
      <c r="H432" s="23" t="inlineStr">
        <is>
          <t>—</t>
        </is>
      </c>
    </row>
    <row r="433">
      <c r="A433" s="23" t="n">
        <v>429</v>
      </c>
      <c r="B433" s="23" t="inlineStr">
        <is>
          <t>810460</t>
        </is>
      </c>
      <c r="C433" s="23" t="inlineStr">
        <is>
          <t>—</t>
        </is>
      </c>
      <c r="D433" s="23" t="inlineStr">
        <is>
          <t>760698</t>
        </is>
      </c>
      <c r="E433" s="23" t="inlineStr">
        <is>
          <t>SPARE PICCOLA WHITE FRONT KEYBOARD PANEL PAINTED</t>
        </is>
      </c>
      <c r="F433" s="24" t="n">
        <v>8.449999999999999</v>
      </c>
      <c r="G433" s="23" t="n">
        <v>1</v>
      </c>
      <c r="H433" s="23" t="inlineStr">
        <is>
          <t>—</t>
        </is>
      </c>
    </row>
    <row r="434">
      <c r="A434" s="23" t="n">
        <v>430</v>
      </c>
      <c r="B434" s="23" t="inlineStr">
        <is>
          <t>810462</t>
        </is>
      </c>
      <c r="C434" s="23" t="inlineStr">
        <is>
          <t>—</t>
        </is>
      </c>
      <c r="D434" s="23" t="inlineStr">
        <is>
          <t>760699</t>
        </is>
      </c>
      <c r="E434" s="23" t="inlineStr">
        <is>
          <t>SPARE PICCOLA WHITE LEFT PANEL PAINTED</t>
        </is>
      </c>
      <c r="F434" s="24" t="n">
        <v>43.9</v>
      </c>
      <c r="G434" s="23" t="n">
        <v>1</v>
      </c>
      <c r="H434" s="23" t="inlineStr">
        <is>
          <t>—</t>
        </is>
      </c>
    </row>
    <row r="435">
      <c r="A435" s="23" t="n">
        <v>431</v>
      </c>
      <c r="B435" s="23" t="inlineStr">
        <is>
          <t>810456</t>
        </is>
      </c>
      <c r="C435" s="23" t="inlineStr">
        <is>
          <t>—</t>
        </is>
      </c>
      <c r="D435" s="23" t="inlineStr">
        <is>
          <t>760700</t>
        </is>
      </c>
      <c r="E435" s="23" t="inlineStr">
        <is>
          <t>SPARE PICCOLA WHITE TOP COVER PAINTED</t>
        </is>
      </c>
      <c r="F435" s="24" t="n">
        <v>26.15</v>
      </c>
      <c r="G435" s="23" t="n">
        <v>1</v>
      </c>
      <c r="H435" s="23" t="inlineStr">
        <is>
          <t>—</t>
        </is>
      </c>
    </row>
    <row r="436">
      <c r="A436" s="23" t="n">
        <v>432</v>
      </c>
      <c r="B436" s="23" t="inlineStr">
        <is>
          <t>810461</t>
        </is>
      </c>
      <c r="C436" s="23" t="inlineStr">
        <is>
          <t>—</t>
        </is>
      </c>
      <c r="D436" s="23" t="inlineStr">
        <is>
          <t>760701</t>
        </is>
      </c>
      <c r="E436" s="23" t="inlineStr">
        <is>
          <t>SPARE PICCOLA WHITE RIGHT PANEL PAINTED</t>
        </is>
      </c>
      <c r="F436" s="24" t="n">
        <v>43.9</v>
      </c>
      <c r="G436" s="23" t="n">
        <v>1</v>
      </c>
      <c r="H436" s="23" t="inlineStr">
        <is>
          <t>—</t>
        </is>
      </c>
    </row>
    <row r="437">
      <c r="A437" s="23" t="n">
        <v>433</v>
      </c>
      <c r="B437" s="23" t="inlineStr">
        <is>
          <t>810455</t>
        </is>
      </c>
      <c r="C437" s="23" t="inlineStr">
        <is>
          <t>—</t>
        </is>
      </c>
      <c r="D437" s="23" t="inlineStr">
        <is>
          <t>760702</t>
        </is>
      </c>
      <c r="E437" s="23" t="inlineStr">
        <is>
          <t>SPARE PICCOLA WHITE FRONT PANEL PAINTED</t>
        </is>
      </c>
      <c r="F437" s="24" t="n">
        <v>40.5</v>
      </c>
      <c r="G437" s="23" t="n">
        <v>1</v>
      </c>
      <c r="H437" s="23" t="inlineStr">
        <is>
          <t>—</t>
        </is>
      </c>
    </row>
    <row r="438">
      <c r="A438" s="23" t="n">
        <v>434</v>
      </c>
      <c r="B438" s="23" t="inlineStr">
        <is>
          <t>810457</t>
        </is>
      </c>
      <c r="C438" s="23" t="inlineStr">
        <is>
          <t>—</t>
        </is>
      </c>
      <c r="D438" s="23" t="inlineStr">
        <is>
          <t>760703</t>
        </is>
      </c>
      <c r="E438" s="23" t="inlineStr">
        <is>
          <t>SPARE PICCOLA WHITE DRIP TRAY PAINTED W/GRILL</t>
        </is>
      </c>
      <c r="F438" s="24" t="n">
        <v>16.15</v>
      </c>
      <c r="G438" s="23" t="n">
        <v>1</v>
      </c>
      <c r="H438" s="23" t="inlineStr">
        <is>
          <t>—</t>
        </is>
      </c>
    </row>
    <row r="439">
      <c r="A439" s="23" t="n">
        <v>435</v>
      </c>
      <c r="B439" s="23" t="inlineStr">
        <is>
          <t>160579</t>
        </is>
      </c>
      <c r="C439" s="23" t="inlineStr">
        <is>
          <t>—</t>
        </is>
      </c>
      <c r="D439" s="23" t="inlineStr">
        <is>
          <t>760704</t>
        </is>
      </c>
      <c r="E439" s="23" t="inlineStr">
        <is>
          <t>SPARE SELFIZZ 15 FIZZ LEXAN LABEL (BLACK)</t>
        </is>
      </c>
      <c r="F439" s="24" t="n">
        <v>5.65</v>
      </c>
      <c r="G439" s="23" t="n">
        <v>1</v>
      </c>
      <c r="H439" s="23" t="inlineStr">
        <is>
          <t>—</t>
        </is>
      </c>
    </row>
    <row r="440">
      <c r="A440" s="23" t="n">
        <v>436</v>
      </c>
      <c r="B440" s="23" t="inlineStr">
        <is>
          <t>810217</t>
        </is>
      </c>
      <c r="C440" s="23" t="inlineStr">
        <is>
          <t>—</t>
        </is>
      </c>
      <c r="D440" s="23" t="inlineStr">
        <is>
          <t>760705</t>
        </is>
      </c>
      <c r="E440" s="23" t="inlineStr">
        <is>
          <t>SPARE SELFIZZ FRONT KEYBOARD PANEL PAINTED</t>
        </is>
      </c>
      <c r="F440" s="24" t="n">
        <v>17.6</v>
      </c>
      <c r="G440" s="23" t="n">
        <v>1</v>
      </c>
      <c r="H440" s="23" t="inlineStr">
        <is>
          <t>—</t>
        </is>
      </c>
    </row>
    <row r="441">
      <c r="A441" s="23" t="n">
        <v>437</v>
      </c>
      <c r="B441" s="23" t="inlineStr">
        <is>
          <t>141089</t>
        </is>
      </c>
      <c r="C441" s="23" t="inlineStr">
        <is>
          <t>—</t>
        </is>
      </c>
      <c r="D441" s="23" t="inlineStr">
        <is>
          <t>760706</t>
        </is>
      </c>
      <c r="E441" s="23" t="inlineStr">
        <is>
          <t>SPARE N.10 PCS. SELFIZZ CULLIGAN FIZZ PUSH BUTTON</t>
        </is>
      </c>
      <c r="F441" s="24" t="n">
        <v>17.5</v>
      </c>
      <c r="G441" s="23" t="n">
        <v>10</v>
      </c>
      <c r="H441" s="23" t="inlineStr">
        <is>
          <t>—</t>
        </is>
      </c>
    </row>
    <row r="442">
      <c r="A442" s="23" t="n">
        <v>438</v>
      </c>
      <c r="B442" s="23" t="inlineStr">
        <is>
          <t>141088</t>
        </is>
      </c>
      <c r="C442" s="23" t="inlineStr">
        <is>
          <t>—</t>
        </is>
      </c>
      <c r="D442" s="23" t="inlineStr">
        <is>
          <t>760707</t>
        </is>
      </c>
      <c r="E442" s="23" t="inlineStr">
        <is>
          <t>SPARE N. 10 PCS. SELFIZZ CULLIGAN COLD PUSH BUTTON</t>
        </is>
      </c>
      <c r="F442" s="24" t="n">
        <v>17.5</v>
      </c>
      <c r="G442" s="23" t="n">
        <v>10</v>
      </c>
      <c r="H442" s="23" t="inlineStr">
        <is>
          <t>—</t>
        </is>
      </c>
    </row>
    <row r="443">
      <c r="A443" s="23" t="n">
        <v>439</v>
      </c>
      <c r="B443" s="23" t="inlineStr">
        <is>
          <t>141090</t>
        </is>
      </c>
      <c r="C443" s="23" t="inlineStr">
        <is>
          <t>—</t>
        </is>
      </c>
      <c r="D443" s="23" t="inlineStr">
        <is>
          <t>760708</t>
        </is>
      </c>
      <c r="E443" s="23" t="inlineStr">
        <is>
          <t>SPARE N. 10 PCS. SELFIZZ CULLIGAN MEDIUM PUSH BUTTON</t>
        </is>
      </c>
      <c r="F443" s="24" t="n">
        <v>17.5</v>
      </c>
      <c r="G443" s="23" t="n">
        <v>10</v>
      </c>
      <c r="H443" s="23" t="inlineStr">
        <is>
          <t>—</t>
        </is>
      </c>
    </row>
    <row r="444">
      <c r="A444" s="23" t="n">
        <v>440</v>
      </c>
      <c r="B444" s="23" t="inlineStr">
        <is>
          <t>141087</t>
        </is>
      </c>
      <c r="C444" s="23" t="inlineStr">
        <is>
          <t>—</t>
        </is>
      </c>
      <c r="D444" s="23" t="inlineStr">
        <is>
          <t>760709</t>
        </is>
      </c>
      <c r="E444" s="23" t="inlineStr">
        <is>
          <t>SPARE N. 10 PCS. SELFIZZ CULLIGAN AMBIENT PUSH BUTTON</t>
        </is>
      </c>
      <c r="F444" s="24" t="n">
        <v>17.5</v>
      </c>
      <c r="G444" s="23" t="n">
        <v>10</v>
      </c>
      <c r="H444" s="23" t="inlineStr">
        <is>
          <t>—</t>
        </is>
      </c>
    </row>
    <row r="445">
      <c r="A445" s="23" t="n">
        <v>441</v>
      </c>
      <c r="B445" s="23" t="inlineStr">
        <is>
          <t>810212</t>
        </is>
      </c>
      <c r="C445" s="23" t="inlineStr">
        <is>
          <t>—</t>
        </is>
      </c>
      <c r="D445" s="23" t="inlineStr">
        <is>
          <t>760710</t>
        </is>
      </c>
      <c r="E445" s="23" t="inlineStr">
        <is>
          <t>SPARE SELFIZZ LEFT PANEL PAINTED</t>
        </is>
      </c>
      <c r="F445" s="24" t="n">
        <v>37.1</v>
      </c>
      <c r="G445" s="23" t="n">
        <v>1</v>
      </c>
      <c r="H445" s="23" t="inlineStr">
        <is>
          <t>—</t>
        </is>
      </c>
    </row>
    <row r="446">
      <c r="A446" s="23" t="n">
        <v>442</v>
      </c>
      <c r="B446" s="23" t="inlineStr">
        <is>
          <t>810214</t>
        </is>
      </c>
      <c r="C446" s="23" t="inlineStr">
        <is>
          <t>—</t>
        </is>
      </c>
      <c r="D446" s="23" t="inlineStr">
        <is>
          <t>760711</t>
        </is>
      </c>
      <c r="E446" s="23" t="inlineStr">
        <is>
          <t>SPARE SELFIZZ TOP COVER PAINTED</t>
        </is>
      </c>
      <c r="F446" s="24" t="n">
        <v>26.15</v>
      </c>
      <c r="G446" s="23" t="n">
        <v>1</v>
      </c>
      <c r="H446" s="23" t="inlineStr">
        <is>
          <t>—</t>
        </is>
      </c>
    </row>
    <row r="447">
      <c r="A447" s="23" t="n">
        <v>443</v>
      </c>
      <c r="B447" s="23" t="inlineStr">
        <is>
          <t>810210</t>
        </is>
      </c>
      <c r="C447" s="23" t="inlineStr">
        <is>
          <t>—</t>
        </is>
      </c>
      <c r="D447" s="23" t="inlineStr">
        <is>
          <t>760712</t>
        </is>
      </c>
      <c r="E447" s="23" t="inlineStr">
        <is>
          <t>SPARE SELFIZZ FRONT PANEL PAINTED</t>
        </is>
      </c>
      <c r="F447" s="24" t="n">
        <v>37.1</v>
      </c>
      <c r="G447" s="23" t="n">
        <v>1</v>
      </c>
      <c r="H447" s="23" t="inlineStr">
        <is>
          <t>—</t>
        </is>
      </c>
    </row>
    <row r="448">
      <c r="A448" s="23" t="n">
        <v>444</v>
      </c>
      <c r="B448" s="23" t="inlineStr">
        <is>
          <t>810215A</t>
        </is>
      </c>
      <c r="C448" s="23" t="inlineStr">
        <is>
          <t>—</t>
        </is>
      </c>
      <c r="D448" s="23" t="inlineStr">
        <is>
          <t>760713</t>
        </is>
      </c>
      <c r="E448" s="23" t="inlineStr">
        <is>
          <t>SPARE SELFIZZ DRIP TRAY PAINTED W/GRILL</t>
        </is>
      </c>
      <c r="F448" s="24" t="n">
        <v>16.15</v>
      </c>
      <c r="G448" s="23" t="n">
        <v>1</v>
      </c>
      <c r="H448" s="23" t="inlineStr">
        <is>
          <t>—</t>
        </is>
      </c>
    </row>
    <row r="449">
      <c r="A449" s="23" t="n">
        <v>445</v>
      </c>
      <c r="B449" s="23" t="inlineStr">
        <is>
          <t>150494</t>
        </is>
      </c>
      <c r="C449" s="23" t="inlineStr">
        <is>
          <t>750164</t>
        </is>
      </c>
      <c r="D449" s="23" t="inlineStr">
        <is>
          <t>760714</t>
        </is>
      </c>
      <c r="E449" s="23" t="inlineStr">
        <is>
          <t>SPARE SELFIZZ 15 FIZZ ELECTRIC BOARD KIT W/O CONTROL BOARD</t>
        </is>
      </c>
      <c r="F449" s="24" t="n">
        <v>15.9</v>
      </c>
      <c r="G449" s="23" t="n">
        <v>1</v>
      </c>
      <c r="H449" s="23" t="inlineStr">
        <is>
          <t>—</t>
        </is>
      </c>
    </row>
    <row r="450">
      <c r="A450" s="23" t="n">
        <v>446</v>
      </c>
      <c r="B450" s="23" t="inlineStr">
        <is>
          <t>810887</t>
        </is>
      </c>
      <c r="C450" s="23" t="inlineStr">
        <is>
          <t>—</t>
        </is>
      </c>
      <c r="D450" s="23" t="inlineStr">
        <is>
          <t>760719</t>
        </is>
      </c>
      <c r="E450" s="23" t="inlineStr">
        <is>
          <t>SPARE PREASSEMBLED REMOTE SAFETY VALVE KIT 240MM</t>
        </is>
      </c>
      <c r="F450" s="24" t="n">
        <v>7.5</v>
      </c>
      <c r="G450" s="23" t="n">
        <v>1</v>
      </c>
      <c r="H450" s="23" t="inlineStr">
        <is>
          <t>—</t>
        </is>
      </c>
    </row>
    <row r="451">
      <c r="A451" s="23" t="n">
        <v>447</v>
      </c>
      <c r="B451" s="23" t="inlineStr">
        <is>
          <t>160580</t>
        </is>
      </c>
      <c r="C451" s="23" t="inlineStr">
        <is>
          <t>—</t>
        </is>
      </c>
      <c r="D451" s="23" t="inlineStr">
        <is>
          <t>760721</t>
        </is>
      </c>
      <c r="E451" s="23" t="inlineStr">
        <is>
          <t>SPARE SELFIZZ 15 HOT AND FIZZ HOT LEXAN LABEL</t>
        </is>
      </c>
      <c r="F451" s="24" t="n">
        <v>5.65</v>
      </c>
      <c r="G451" s="23" t="n">
        <v>1</v>
      </c>
      <c r="H451" s="23" t="inlineStr">
        <is>
          <t>—</t>
        </is>
      </c>
    </row>
    <row r="452">
      <c r="A452" s="23" t="n">
        <v>448</v>
      </c>
      <c r="B452" s="23" t="inlineStr">
        <is>
          <t>141092</t>
        </is>
      </c>
      <c r="C452" s="23" t="inlineStr">
        <is>
          <t>—</t>
        </is>
      </c>
      <c r="D452" s="23" t="inlineStr">
        <is>
          <t>760722</t>
        </is>
      </c>
      <c r="E452" s="23" t="inlineStr">
        <is>
          <t>SPARE N.10 PCS. SELFIZZ CULLIGAN PADLOCK PUSH BUTTON</t>
        </is>
      </c>
      <c r="F452" s="24" t="n">
        <v>17.5</v>
      </c>
      <c r="G452" s="23" t="n">
        <v>10</v>
      </c>
      <c r="H452" s="23" t="inlineStr">
        <is>
          <t>—</t>
        </is>
      </c>
    </row>
    <row r="453">
      <c r="A453" s="23" t="n">
        <v>449</v>
      </c>
      <c r="B453" s="23" t="inlineStr">
        <is>
          <t>150493</t>
        </is>
      </c>
      <c r="C453" s="23" t="inlineStr">
        <is>
          <t>750169</t>
        </is>
      </c>
      <c r="D453" s="23" t="inlineStr">
        <is>
          <t>760723</t>
        </is>
      </c>
      <c r="E453" s="23" t="inlineStr">
        <is>
          <t>SPARE SELFIZZ 15 HOT ELECTRIC BOARD KIT W/O CONTROL BOARD</t>
        </is>
      </c>
      <c r="F453" s="24" t="n">
        <v>15.9</v>
      </c>
      <c r="G453" s="23" t="n">
        <v>1</v>
      </c>
      <c r="H453" s="23" t="inlineStr">
        <is>
          <t>—</t>
        </is>
      </c>
    </row>
    <row r="454">
      <c r="A454" s="23" t="n">
        <v>450</v>
      </c>
      <c r="B454" s="23" t="inlineStr">
        <is>
          <t>141091</t>
        </is>
      </c>
      <c r="C454" s="23" t="inlineStr">
        <is>
          <t>—</t>
        </is>
      </c>
      <c r="D454" s="23" t="inlineStr">
        <is>
          <t>760724</t>
        </is>
      </c>
      <c r="E454" s="23" t="inlineStr">
        <is>
          <t>SPARE N.10 PCS. SELFIZZ CULLIGAN HOT PUSH BUTTON</t>
        </is>
      </c>
      <c r="F454" s="24" t="n">
        <v>17.5</v>
      </c>
      <c r="G454" s="23" t="n">
        <v>10</v>
      </c>
      <c r="H454" s="23" t="inlineStr">
        <is>
          <t>—</t>
        </is>
      </c>
    </row>
    <row r="455">
      <c r="A455" s="23" t="n">
        <v>451</v>
      </c>
      <c r="B455" s="23" t="inlineStr">
        <is>
          <t>150088</t>
        </is>
      </c>
      <c r="C455" s="23" t="inlineStr">
        <is>
          <t>—</t>
        </is>
      </c>
      <c r="D455" s="23" t="inlineStr">
        <is>
          <t>760725</t>
        </is>
      </c>
      <c r="E455" s="23" t="inlineStr">
        <is>
          <t>SPARE WAVE AUSTRALIA POWER CABLE</t>
        </is>
      </c>
      <c r="F455" s="24" t="n">
        <v>7.5</v>
      </c>
      <c r="G455" s="23" t="n">
        <v>1</v>
      </c>
      <c r="H455" s="23" t="inlineStr">
        <is>
          <t>—</t>
        </is>
      </c>
    </row>
    <row r="456">
      <c r="A456" s="23" t="n">
        <v>452</v>
      </c>
      <c r="B456" s="23" t="inlineStr">
        <is>
          <t>120131</t>
        </is>
      </c>
      <c r="C456" s="23" t="inlineStr">
        <is>
          <t>—</t>
        </is>
      </c>
      <c r="D456" s="23" t="inlineStr">
        <is>
          <t>760726</t>
        </is>
      </c>
      <c r="E456" s="23" t="inlineStr">
        <is>
          <t>SPARE FAN 120x120x25 115V</t>
        </is>
      </c>
      <c r="F456" s="24" t="n">
        <v>115.35</v>
      </c>
      <c r="G456" s="23" t="n">
        <v>1</v>
      </c>
      <c r="H456" s="23" t="inlineStr">
        <is>
          <t>—</t>
        </is>
      </c>
    </row>
    <row r="457">
      <c r="A457" s="23" t="n">
        <v>453</v>
      </c>
      <c r="B457" s="23" t="inlineStr">
        <is>
          <t>810621</t>
        </is>
      </c>
      <c r="C457" s="23" t="inlineStr">
        <is>
          <t>—</t>
        </is>
      </c>
      <c r="D457" s="23" t="inlineStr">
        <is>
          <t>760727</t>
        </is>
      </c>
      <c r="E457" s="23" t="inlineStr">
        <is>
          <t>SPARE 1LT HOT WATER TANK 115V W/TERMODISK ASSEMBLED</t>
        </is>
      </c>
      <c r="F457" s="24" t="n">
        <v>96.8</v>
      </c>
      <c r="G457" s="23" t="n">
        <v>1</v>
      </c>
      <c r="H457" s="23" t="inlineStr">
        <is>
          <t>—</t>
        </is>
      </c>
    </row>
    <row r="458">
      <c r="A458" s="23" t="n">
        <v>454</v>
      </c>
      <c r="B458" s="23" t="inlineStr">
        <is>
          <t>810982</t>
        </is>
      </c>
      <c r="C458" s="23" t="inlineStr">
        <is>
          <t>—</t>
        </is>
      </c>
      <c r="D458" s="23" t="inlineStr">
        <is>
          <t>760728</t>
        </is>
      </c>
      <c r="E458" s="23" t="inlineStr">
        <is>
          <t>SPARE POWER CABLE W/CONNECTOR M/F AND UK PLUG</t>
        </is>
      </c>
      <c r="F458" s="24" t="n">
        <v>22.6</v>
      </c>
      <c r="G458" s="23" t="n">
        <v>1</v>
      </c>
      <c r="H458" s="23" t="inlineStr">
        <is>
          <t>—</t>
        </is>
      </c>
    </row>
    <row r="459">
      <c r="A459" s="23" t="n">
        <v>455</v>
      </c>
      <c r="B459" s="23" t="inlineStr">
        <is>
          <t>140530</t>
        </is>
      </c>
      <c r="C459" s="23" t="inlineStr">
        <is>
          <t>—</t>
        </is>
      </c>
      <c r="D459" s="23" t="inlineStr">
        <is>
          <t>760729</t>
        </is>
      </c>
      <c r="E459" s="23" t="inlineStr">
        <is>
          <t>SPARE SELFIZZ 15 BOX FRONT PANEL</t>
        </is>
      </c>
      <c r="F459" s="24" t="n">
        <v>10.1</v>
      </c>
      <c r="G459" s="23" t="n">
        <v>1</v>
      </c>
      <c r="H459" s="23" t="inlineStr">
        <is>
          <t>—</t>
        </is>
      </c>
    </row>
    <row r="460">
      <c r="A460" s="23" t="n">
        <v>456</v>
      </c>
      <c r="B460" s="23" t="inlineStr">
        <is>
          <t>140516</t>
        </is>
      </c>
      <c r="C460" s="23" t="inlineStr">
        <is>
          <t>—</t>
        </is>
      </c>
      <c r="D460" s="23" t="inlineStr">
        <is>
          <t>760730</t>
        </is>
      </c>
      <c r="E460" s="23" t="inlineStr">
        <is>
          <t>SPARE SELFIZZ LEFT PANEL</t>
        </is>
      </c>
      <c r="F460" s="24" t="n">
        <v>37.1</v>
      </c>
      <c r="G460" s="23" t="n">
        <v>1</v>
      </c>
      <c r="H460" s="23" t="inlineStr">
        <is>
          <t>—</t>
        </is>
      </c>
    </row>
    <row r="461">
      <c r="A461" s="23" t="n">
        <v>457</v>
      </c>
      <c r="B461" s="23" t="inlineStr">
        <is>
          <t>140514</t>
        </is>
      </c>
      <c r="C461" s="23" t="inlineStr">
        <is>
          <t>—</t>
        </is>
      </c>
      <c r="D461" s="23" t="inlineStr">
        <is>
          <t>760731</t>
        </is>
      </c>
      <c r="E461" s="23" t="inlineStr">
        <is>
          <t>SPARE SELFIZZ TOP COVER</t>
        </is>
      </c>
      <c r="F461" s="24" t="n">
        <v>26.15</v>
      </c>
      <c r="G461" s="23" t="n">
        <v>1</v>
      </c>
      <c r="H461" s="23" t="inlineStr">
        <is>
          <t>—</t>
        </is>
      </c>
    </row>
    <row r="462">
      <c r="A462" s="23" t="n">
        <v>458</v>
      </c>
      <c r="B462" s="23" t="inlineStr">
        <is>
          <t>140515</t>
        </is>
      </c>
      <c r="C462" s="23" t="inlineStr">
        <is>
          <t>—</t>
        </is>
      </c>
      <c r="D462" s="23" t="inlineStr">
        <is>
          <t>760732</t>
        </is>
      </c>
      <c r="E462" s="23" t="inlineStr">
        <is>
          <t>SPARE SELFIZZ RIGHT PANEL</t>
        </is>
      </c>
      <c r="F462" s="24" t="n">
        <v>37.1</v>
      </c>
      <c r="G462" s="23" t="n">
        <v>1</v>
      </c>
      <c r="H462" s="23" t="inlineStr">
        <is>
          <t>—</t>
        </is>
      </c>
    </row>
    <row r="463">
      <c r="A463" s="23" t="n">
        <v>459</v>
      </c>
      <c r="B463" s="23" t="inlineStr">
        <is>
          <t>111785</t>
        </is>
      </c>
      <c r="C463" s="23" t="inlineStr">
        <is>
          <t>—</t>
        </is>
      </c>
      <c r="D463" s="23" t="inlineStr">
        <is>
          <t>760733</t>
        </is>
      </c>
      <c r="E463" s="23" t="inlineStr">
        <is>
          <t>SPARE AQUABAR FIREWALL TURNED SPOUT</t>
        </is>
      </c>
      <c r="F463" s="24" t="n">
        <v>4.5</v>
      </c>
      <c r="G463" s="23" t="n">
        <v>1</v>
      </c>
      <c r="H463" s="23" t="inlineStr">
        <is>
          <t>—</t>
        </is>
      </c>
    </row>
    <row r="464">
      <c r="A464" s="23" t="n">
        <v>460</v>
      </c>
      <c r="B464" s="23" t="inlineStr">
        <is>
          <t>151161</t>
        </is>
      </c>
      <c r="C464" s="23" t="inlineStr">
        <is>
          <t>—</t>
        </is>
      </c>
      <c r="D464" s="23" t="inlineStr">
        <is>
          <t>760734</t>
        </is>
      </c>
      <c r="E464" s="23" t="inlineStr">
        <is>
          <t>SPARE AQUABAR FIREWALL BOARD FOR FIREWALL</t>
        </is>
      </c>
      <c r="F464" s="24" t="n">
        <v>38.7</v>
      </c>
      <c r="G464" s="23" t="n">
        <v>1</v>
      </c>
      <c r="H464" s="23" t="inlineStr">
        <is>
          <t>—</t>
        </is>
      </c>
    </row>
    <row r="465">
      <c r="A465" s="23" t="n">
        <v>461</v>
      </c>
      <c r="B465" s="23" t="inlineStr">
        <is>
          <t>151160</t>
        </is>
      </c>
      <c r="C465" s="23" t="inlineStr">
        <is>
          <t>—</t>
        </is>
      </c>
      <c r="D465" s="23" t="inlineStr">
        <is>
          <t>760735</t>
        </is>
      </c>
      <c r="E465" s="23" t="inlineStr">
        <is>
          <t>SPARE AQUABAR FIREWALL CS CONTROL BOARD</t>
        </is>
      </c>
      <c r="F465" s="24" t="n">
        <v>43.7</v>
      </c>
      <c r="G465" s="23" t="n">
        <v>1</v>
      </c>
      <c r="H465" s="23" t="inlineStr">
        <is>
          <t>—</t>
        </is>
      </c>
    </row>
    <row r="466">
      <c r="A466" s="23" t="n">
        <v>462</v>
      </c>
      <c r="B466" s="23" t="inlineStr">
        <is>
          <t>810899</t>
        </is>
      </c>
      <c r="C466" s="23" t="inlineStr">
        <is>
          <t>—</t>
        </is>
      </c>
      <c r="D466" s="23" t="inlineStr">
        <is>
          <t>760736</t>
        </is>
      </c>
      <c r="E466" s="23" t="inlineStr">
        <is>
          <t>SPARE CULLIGAN FIZZ PUSH BUTTON BLUE LIGHT BLACK INCISION</t>
        </is>
      </c>
      <c r="F466" s="24" t="n">
        <v>14.2</v>
      </c>
      <c r="G466" s="23" t="n">
        <v>1</v>
      </c>
      <c r="H466" s="23" t="inlineStr">
        <is>
          <t>—</t>
        </is>
      </c>
    </row>
    <row r="467">
      <c r="A467" s="23" t="n">
        <v>463</v>
      </c>
      <c r="B467" s="23" t="inlineStr">
        <is>
          <t>810898</t>
        </is>
      </c>
      <c r="C467" s="23" t="inlineStr">
        <is>
          <t>—</t>
        </is>
      </c>
      <c r="D467" s="23" t="inlineStr">
        <is>
          <t>760737</t>
        </is>
      </c>
      <c r="E467" s="23" t="inlineStr">
        <is>
          <t>SPARE CULLIGAN COLD PUSH BUTTON BLUE LIGHT BLACK INCISION</t>
        </is>
      </c>
      <c r="F467" s="24" t="n">
        <v>14.2</v>
      </c>
      <c r="G467" s="23" t="n">
        <v>1</v>
      </c>
      <c r="H467" s="23" t="inlineStr">
        <is>
          <t>—</t>
        </is>
      </c>
    </row>
    <row r="468">
      <c r="A468" s="23" t="n">
        <v>464</v>
      </c>
      <c r="B468" s="23" t="inlineStr">
        <is>
          <t>161246</t>
        </is>
      </c>
      <c r="C468" s="23" t="inlineStr">
        <is>
          <t>—</t>
        </is>
      </c>
      <c r="D468" s="23" t="inlineStr">
        <is>
          <t>760738</t>
        </is>
      </c>
      <c r="E468" s="23" t="inlineStr">
        <is>
          <t>SPARE AQUABAR FIREWALL PUSH BUTTON PLATE</t>
        </is>
      </c>
      <c r="F468" s="24" t="n">
        <v>9.300000000000001</v>
      </c>
      <c r="G468" s="23" t="n">
        <v>1</v>
      </c>
      <c r="H468" s="23" t="inlineStr">
        <is>
          <t>—</t>
        </is>
      </c>
    </row>
    <row r="469">
      <c r="A469" s="23" t="n">
        <v>465</v>
      </c>
      <c r="B469" s="23" t="inlineStr">
        <is>
          <t>151028</t>
        </is>
      </c>
      <c r="C469" s="23" t="inlineStr">
        <is>
          <t>—</t>
        </is>
      </c>
      <c r="D469" s="23" t="inlineStr">
        <is>
          <t>760739</t>
        </is>
      </c>
      <c r="E469" s="23" t="inlineStr">
        <is>
          <t>SPARE FIREWALL BALLAST</t>
        </is>
      </c>
      <c r="F469" s="24" t="n">
        <v>16.8</v>
      </c>
      <c r="G469" s="23" t="n">
        <v>1</v>
      </c>
      <c r="H469" s="23" t="inlineStr">
        <is>
          <t>—</t>
        </is>
      </c>
    </row>
    <row r="470">
      <c r="A470" s="23" t="n">
        <v>466</v>
      </c>
      <c r="B470" s="23" t="inlineStr">
        <is>
          <t>151159</t>
        </is>
      </c>
      <c r="C470" s="23" t="inlineStr">
        <is>
          <t>—</t>
        </is>
      </c>
      <c r="D470" s="23" t="inlineStr">
        <is>
          <t>760740</t>
        </is>
      </c>
      <c r="E470" s="23" t="inlineStr">
        <is>
          <t>SPARE AQUABAR FIREWALL CA CONTROL BOARD</t>
        </is>
      </c>
      <c r="F470" s="24" t="n">
        <v>50.8</v>
      </c>
      <c r="G470" s="23" t="n">
        <v>1</v>
      </c>
      <c r="H470" s="23" t="inlineStr">
        <is>
          <t>—</t>
        </is>
      </c>
    </row>
    <row r="471">
      <c r="A471" s="23" t="n">
        <v>467</v>
      </c>
      <c r="B471" s="23" t="inlineStr">
        <is>
          <t>810897</t>
        </is>
      </c>
      <c r="C471" s="23" t="inlineStr">
        <is>
          <t>—</t>
        </is>
      </c>
      <c r="D471" s="23" t="inlineStr">
        <is>
          <t>760741</t>
        </is>
      </c>
      <c r="E471" s="23" t="inlineStr">
        <is>
          <t>SPARE CULLIGAN AMBIENT PUSH BUTTON BLUE LIGHT BLACK INCISION</t>
        </is>
      </c>
      <c r="F471" s="24" t="n">
        <v>14.2</v>
      </c>
      <c r="G471" s="23" t="n">
        <v>1</v>
      </c>
      <c r="H471" s="23" t="inlineStr">
        <is>
          <t>—</t>
        </is>
      </c>
    </row>
    <row r="472">
      <c r="A472" s="23" t="n">
        <v>468</v>
      </c>
      <c r="B472" s="23" t="inlineStr">
        <is>
          <t>160559</t>
        </is>
      </c>
      <c r="C472" s="23" t="inlineStr">
        <is>
          <t>—</t>
        </is>
      </c>
      <c r="D472" s="23" t="inlineStr">
        <is>
          <t>760742</t>
        </is>
      </c>
      <c r="E472" s="23" t="inlineStr">
        <is>
          <t>SPARE SELFIZZ 15 LEXAN LABEL</t>
        </is>
      </c>
      <c r="F472" s="24" t="n">
        <v>6.5</v>
      </c>
      <c r="G472" s="23" t="n">
        <v>1</v>
      </c>
      <c r="H472" s="23" t="inlineStr">
        <is>
          <t>—</t>
        </is>
      </c>
    </row>
    <row r="473">
      <c r="A473" s="23" t="n">
        <v>469</v>
      </c>
      <c r="B473" s="23" t="inlineStr">
        <is>
          <t>150492</t>
        </is>
      </c>
      <c r="C473" s="23" t="inlineStr">
        <is>
          <t>750168</t>
        </is>
      </c>
      <c r="D473" s="23" t="inlineStr">
        <is>
          <t>760743</t>
        </is>
      </c>
      <c r="E473" s="23" t="inlineStr">
        <is>
          <t>SPARE SELFIZZ 15 ELECTRONIC BOARD KIT</t>
        </is>
      </c>
      <c r="F473" s="24" t="n">
        <v>15.9</v>
      </c>
      <c r="G473" s="23" t="n">
        <v>1</v>
      </c>
      <c r="H473" s="23" t="inlineStr">
        <is>
          <t>—</t>
        </is>
      </c>
    </row>
    <row r="474">
      <c r="A474" s="23" t="n">
        <v>470</v>
      </c>
      <c r="B474" s="23" t="inlineStr">
        <is>
          <t>130271</t>
        </is>
      </c>
      <c r="C474" s="23" t="inlineStr">
        <is>
          <t>—</t>
        </is>
      </c>
      <c r="D474" s="23" t="inlineStr">
        <is>
          <t>760744</t>
        </is>
      </c>
      <c r="E474" s="23" t="inlineStr">
        <is>
          <t>SPARE BACKFLOW PREVENTER</t>
        </is>
      </c>
      <c r="F474" s="24" t="n">
        <v>56.35</v>
      </c>
      <c r="G474" s="23" t="n">
        <v>1</v>
      </c>
      <c r="H474" s="23" t="inlineStr">
        <is>
          <t>—</t>
        </is>
      </c>
    </row>
    <row r="475">
      <c r="A475" s="23" t="n">
        <v>471</v>
      </c>
      <c r="B475" s="23" t="inlineStr">
        <is>
          <t>161175</t>
        </is>
      </c>
      <c r="C475" s="23" t="inlineStr">
        <is>
          <t>—</t>
        </is>
      </c>
      <c r="D475" s="23" t="inlineStr">
        <is>
          <t>760745</t>
        </is>
      </c>
      <c r="E475" s="23" t="inlineStr">
        <is>
          <t>SPARE REBEL 30 LEXAN LABEL</t>
        </is>
      </c>
      <c r="F475" s="24" t="n">
        <v>4</v>
      </c>
      <c r="G475" s="23" t="n">
        <v>1</v>
      </c>
      <c r="H475" s="23" t="inlineStr">
        <is>
          <t>—</t>
        </is>
      </c>
    </row>
    <row r="476">
      <c r="A476" s="23" t="n">
        <v>472</v>
      </c>
      <c r="B476" s="23" t="inlineStr">
        <is>
          <t>141053</t>
        </is>
      </c>
      <c r="C476" s="23" t="inlineStr">
        <is>
          <t>—</t>
        </is>
      </c>
      <c r="D476" s="23" t="inlineStr">
        <is>
          <t>760746</t>
        </is>
      </c>
      <c r="E476" s="23" t="inlineStr">
        <is>
          <t>SPARE REBEL 30 FIZZ AND SUPER HOT 30 FIZZ KEYPAD PANEL</t>
        </is>
      </c>
      <c r="F476" s="24" t="n">
        <v>5.6</v>
      </c>
      <c r="G476" s="23" t="n">
        <v>1</v>
      </c>
      <c r="H476" s="23" t="inlineStr">
        <is>
          <t>—</t>
        </is>
      </c>
    </row>
    <row r="477">
      <c r="A477" s="23" t="n">
        <v>473</v>
      </c>
      <c r="B477" s="23" t="inlineStr">
        <is>
          <t>—</t>
        </is>
      </c>
      <c r="C477" s="23" t="inlineStr">
        <is>
          <t>750382</t>
        </is>
      </c>
      <c r="D477" s="23" t="inlineStr">
        <is>
          <t>760747</t>
        </is>
      </c>
      <c r="E477" s="23" t="inlineStr">
        <is>
          <t>SPARE REBEL 30 PUSH BUTTONS</t>
        </is>
      </c>
      <c r="F477" s="24" t="n">
        <v>8.199999999999999</v>
      </c>
      <c r="G477" s="23" t="n">
        <v>1</v>
      </c>
      <c r="H477" s="23" t="inlineStr">
        <is>
          <t>—</t>
        </is>
      </c>
    </row>
    <row r="478">
      <c r="A478" s="23" t="n">
        <v>474</v>
      </c>
      <c r="B478" s="23" t="inlineStr">
        <is>
          <t>—</t>
        </is>
      </c>
      <c r="C478" s="23" t="inlineStr">
        <is>
          <t>750384</t>
        </is>
      </c>
      <c r="D478" s="23" t="inlineStr">
        <is>
          <t>760748</t>
        </is>
      </c>
      <c r="E478" s="23" t="inlineStr">
        <is>
          <t>SPARE REBEL 30 KEYPAD</t>
        </is>
      </c>
      <c r="F478" s="24" t="n">
        <v>47.2</v>
      </c>
      <c r="G478" s="23" t="n">
        <v>1</v>
      </c>
      <c r="H478" s="23" t="inlineStr">
        <is>
          <t>—</t>
        </is>
      </c>
    </row>
    <row r="479">
      <c r="A479" s="23" t="n">
        <v>475</v>
      </c>
      <c r="B479" s="23" t="inlineStr">
        <is>
          <t>111738</t>
        </is>
      </c>
      <c r="C479" s="23" t="inlineStr">
        <is>
          <t>—</t>
        </is>
      </c>
      <c r="D479" s="23" t="inlineStr">
        <is>
          <t>760749</t>
        </is>
      </c>
      <c r="E479" s="23" t="inlineStr">
        <is>
          <t>SPARE REBEL 30 TOP COVER</t>
        </is>
      </c>
      <c r="F479" s="24" t="n">
        <v>72</v>
      </c>
      <c r="G479" s="23" t="n">
        <v>1</v>
      </c>
      <c r="H479" s="23" t="inlineStr">
        <is>
          <t>—</t>
        </is>
      </c>
    </row>
    <row r="480">
      <c r="A480" s="23" t="n">
        <v>476</v>
      </c>
      <c r="B480" s="23" t="inlineStr">
        <is>
          <t>—</t>
        </is>
      </c>
      <c r="C480" s="23" t="inlineStr">
        <is>
          <t>750383</t>
        </is>
      </c>
      <c r="D480" s="23" t="inlineStr">
        <is>
          <t>760750</t>
        </is>
      </c>
      <c r="E480" s="23" t="inlineStr">
        <is>
          <t>SPARE OUTLET SOLENOID VALVE 24VAC 1 IN/1 OUT 8MM W/BRACKET REBEL</t>
        </is>
      </c>
      <c r="F480" s="24" t="n">
        <v>24.4</v>
      </c>
      <c r="G480" s="23" t="n">
        <v>1</v>
      </c>
      <c r="H480" s="23" t="inlineStr">
        <is>
          <t>—</t>
        </is>
      </c>
    </row>
    <row r="481">
      <c r="A481" s="23" t="n">
        <v>477</v>
      </c>
      <c r="B481" s="23" t="inlineStr">
        <is>
          <t>141165</t>
        </is>
      </c>
      <c r="C481" s="23" t="inlineStr">
        <is>
          <t>—</t>
        </is>
      </c>
      <c r="D481" s="23" t="inlineStr">
        <is>
          <t>760751</t>
        </is>
      </c>
      <c r="E481" s="23" t="inlineStr">
        <is>
          <t>SPARE REBEL 30 FRONT PANEL</t>
        </is>
      </c>
      <c r="F481" s="24" t="n">
        <v>22.4</v>
      </c>
      <c r="G481" s="23" t="n">
        <v>1</v>
      </c>
      <c r="H481" s="23" t="inlineStr">
        <is>
          <t>—</t>
        </is>
      </c>
    </row>
    <row r="482">
      <c r="A482" s="23" t="n">
        <v>478</v>
      </c>
      <c r="B482" s="23" t="inlineStr">
        <is>
          <t>141048</t>
        </is>
      </c>
      <c r="C482" s="23" t="inlineStr">
        <is>
          <t>—</t>
        </is>
      </c>
      <c r="D482" s="23" t="inlineStr">
        <is>
          <t>760752</t>
        </is>
      </c>
      <c r="E482" s="23" t="inlineStr">
        <is>
          <t>SPARE REBEL 30 REMOVABLE PANEL</t>
        </is>
      </c>
      <c r="F482" s="24" t="n">
        <v>7.6</v>
      </c>
      <c r="G482" s="23" t="n">
        <v>1</v>
      </c>
      <c r="H482" s="23" t="inlineStr">
        <is>
          <t>—</t>
        </is>
      </c>
    </row>
    <row r="483">
      <c r="A483" s="23" t="n">
        <v>479</v>
      </c>
      <c r="B483" s="23" t="inlineStr">
        <is>
          <t>—</t>
        </is>
      </c>
      <c r="C483" s="23" t="inlineStr">
        <is>
          <t>750372</t>
        </is>
      </c>
      <c r="D483" s="23" t="inlineStr">
        <is>
          <t>760753</t>
        </is>
      </c>
      <c r="E483" s="23" t="inlineStr">
        <is>
          <t>SPARE REBEL DRIP TRAY W/GRILL</t>
        </is>
      </c>
      <c r="F483" s="24" t="n">
        <v>26</v>
      </c>
      <c r="G483" s="23" t="n">
        <v>1</v>
      </c>
      <c r="H483" s="23" t="inlineStr">
        <is>
          <t>—</t>
        </is>
      </c>
    </row>
    <row r="484">
      <c r="A484" s="23" t="n">
        <v>480</v>
      </c>
      <c r="B484" s="23" t="inlineStr">
        <is>
          <t>161174</t>
        </is>
      </c>
      <c r="C484" s="23" t="inlineStr">
        <is>
          <t>—</t>
        </is>
      </c>
      <c r="D484" s="23" t="inlineStr">
        <is>
          <t>760754</t>
        </is>
      </c>
      <c r="E484" s="23" t="inlineStr">
        <is>
          <t>SPARE REBEL 30 FIZZ AND SUPER HOT 30 FIZZ LEXAN LABEL</t>
        </is>
      </c>
      <c r="F484" s="24" t="n">
        <v>4</v>
      </c>
      <c r="G484" s="23" t="n">
        <v>1</v>
      </c>
      <c r="H484" s="23" t="inlineStr">
        <is>
          <t>—</t>
        </is>
      </c>
    </row>
    <row r="485">
      <c r="A485" s="23" t="n">
        <v>481</v>
      </c>
      <c r="B485" s="23" t="inlineStr">
        <is>
          <t>—</t>
        </is>
      </c>
      <c r="C485" s="23" t="inlineStr">
        <is>
          <t>750385</t>
        </is>
      </c>
      <c r="D485" s="23" t="inlineStr">
        <is>
          <t>760755</t>
        </is>
      </c>
      <c r="E485" s="23" t="inlineStr">
        <is>
          <t>SPARE REBEL 30 FIZZ PUSH BUTTONS</t>
        </is>
      </c>
      <c r="F485" s="24" t="n">
        <v>8.199999999999999</v>
      </c>
      <c r="G485" s="23" t="n">
        <v>1</v>
      </c>
      <c r="H485" s="23" t="inlineStr">
        <is>
          <t>—</t>
        </is>
      </c>
    </row>
    <row r="486">
      <c r="A486" s="23" t="n">
        <v>482</v>
      </c>
      <c r="B486" s="23" t="inlineStr">
        <is>
          <t>—</t>
        </is>
      </c>
      <c r="C486" s="23" t="inlineStr">
        <is>
          <t>750386</t>
        </is>
      </c>
      <c r="D486" s="23" t="inlineStr">
        <is>
          <t>760756</t>
        </is>
      </c>
      <c r="E486" s="23" t="inlineStr">
        <is>
          <t>SPARE REBEL 30 FIZZ KEYPAD</t>
        </is>
      </c>
      <c r="F486" s="24" t="n">
        <v>51</v>
      </c>
      <c r="G486" s="23" t="n">
        <v>1</v>
      </c>
      <c r="H486" s="23" t="inlineStr">
        <is>
          <t>—</t>
        </is>
      </c>
    </row>
    <row r="487">
      <c r="A487" s="23" t="n">
        <v>483</v>
      </c>
      <c r="B487" s="23" t="inlineStr">
        <is>
          <t>161173</t>
        </is>
      </c>
      <c r="C487" s="23" t="inlineStr">
        <is>
          <t>—</t>
        </is>
      </c>
      <c r="D487" s="23" t="inlineStr">
        <is>
          <t>760757</t>
        </is>
      </c>
      <c r="E487" s="23" t="inlineStr">
        <is>
          <t>SPARE REBEL SUPER HOT 30 LEXAN LABEL</t>
        </is>
      </c>
      <c r="F487" s="24" t="n">
        <v>4</v>
      </c>
      <c r="G487" s="23" t="n">
        <v>1</v>
      </c>
      <c r="H487" s="23" t="inlineStr">
        <is>
          <t>—</t>
        </is>
      </c>
    </row>
    <row r="488">
      <c r="A488" s="23" t="n">
        <v>484</v>
      </c>
      <c r="B488" s="23" t="inlineStr">
        <is>
          <t>—</t>
        </is>
      </c>
      <c r="C488" s="23" t="inlineStr">
        <is>
          <t>750388</t>
        </is>
      </c>
      <c r="D488" s="23" t="inlineStr">
        <is>
          <t>760758</t>
        </is>
      </c>
      <c r="E488" s="23" t="inlineStr">
        <is>
          <t>SPARE REBEL SUPER HOT 30 FIZZ PUSH BUTTONS</t>
        </is>
      </c>
      <c r="F488" s="24" t="n">
        <v>8.199999999999999</v>
      </c>
      <c r="G488" s="23" t="n">
        <v>1</v>
      </c>
      <c r="H488" s="23" t="inlineStr">
        <is>
          <t>—</t>
        </is>
      </c>
    </row>
    <row r="489">
      <c r="A489" s="23" t="n">
        <v>485</v>
      </c>
      <c r="B489" s="23" t="inlineStr">
        <is>
          <t>—</t>
        </is>
      </c>
      <c r="C489" s="23" t="inlineStr">
        <is>
          <t>750389</t>
        </is>
      </c>
      <c r="D489" s="23" t="inlineStr">
        <is>
          <t>760759</t>
        </is>
      </c>
      <c r="E489" s="23" t="inlineStr">
        <is>
          <t>SPARE REBEL SUPER HOT 30 FIZZ KEYPAD</t>
        </is>
      </c>
      <c r="F489" s="24" t="n">
        <v>51</v>
      </c>
      <c r="G489" s="23" t="n">
        <v>1</v>
      </c>
      <c r="H489" s="23" t="inlineStr">
        <is>
          <t>—</t>
        </is>
      </c>
    </row>
    <row r="490">
      <c r="A490" s="23" t="n">
        <v>486</v>
      </c>
      <c r="B490" s="23" t="inlineStr">
        <is>
          <t>—</t>
        </is>
      </c>
      <c r="C490" s="23" t="inlineStr">
        <is>
          <t>750387</t>
        </is>
      </c>
      <c r="D490" s="23" t="inlineStr">
        <is>
          <t>760760</t>
        </is>
      </c>
      <c r="E490" s="23" t="inlineStr">
        <is>
          <t>SPARE SOLENOID VALVE 24VAC 8MM PURPLE RED. W/BRACKET REBEL</t>
        </is>
      </c>
      <c r="F490" s="24" t="n">
        <v>23</v>
      </c>
      <c r="G490" s="23" t="n">
        <v>1</v>
      </c>
      <c r="H490" s="23" t="inlineStr">
        <is>
          <t>—</t>
        </is>
      </c>
    </row>
    <row r="491">
      <c r="A491" s="23" t="n">
        <v>487</v>
      </c>
      <c r="B491" s="23" t="inlineStr">
        <is>
          <t>150912</t>
        </is>
      </c>
      <c r="C491" s="23" t="inlineStr">
        <is>
          <t>—</t>
        </is>
      </c>
      <c r="D491" s="23" t="inlineStr">
        <is>
          <t>760761</t>
        </is>
      </c>
      <c r="E491" s="23" t="inlineStr">
        <is>
          <t>SPARE STEEL PROBE FOR HOT WATER TANK</t>
        </is>
      </c>
      <c r="F491" s="24" t="n">
        <v>17.2</v>
      </c>
      <c r="G491" s="23" t="n">
        <v>1</v>
      </c>
      <c r="H491" s="23" t="inlineStr">
        <is>
          <t>—</t>
        </is>
      </c>
    </row>
    <row r="492">
      <c r="A492" s="23" t="n">
        <v>488</v>
      </c>
      <c r="B492" s="23" t="inlineStr">
        <is>
          <t>810820</t>
        </is>
      </c>
      <c r="C492" s="23" t="inlineStr">
        <is>
          <t>—</t>
        </is>
      </c>
      <c r="D492" s="23" t="inlineStr">
        <is>
          <t>760762</t>
        </is>
      </c>
      <c r="E492" s="23" t="inlineStr">
        <is>
          <t>SPARE INSPECT. HOT WATER TANK 230V 1000W ASSEMBLED COUNTERTOP</t>
        </is>
      </c>
      <c r="F492" s="24" t="n">
        <v>92</v>
      </c>
      <c r="G492" s="23" t="n">
        <v>1</v>
      </c>
      <c r="H492" s="23" t="inlineStr">
        <is>
          <t>—</t>
        </is>
      </c>
    </row>
    <row r="493">
      <c r="A493" s="23" t="n">
        <v>489</v>
      </c>
      <c r="B493" s="23" t="inlineStr">
        <is>
          <t>151150</t>
        </is>
      </c>
      <c r="C493" s="23" t="inlineStr">
        <is>
          <t>—</t>
        </is>
      </c>
      <c r="D493" s="23" t="inlineStr">
        <is>
          <t>760763</t>
        </is>
      </c>
      <c r="E493" s="23" t="inlineStr">
        <is>
          <t>SPARE INSPECTIONABLE HOT WATER TANK BOARD</t>
        </is>
      </c>
      <c r="F493" s="24" t="n">
        <v>55</v>
      </c>
      <c r="G493" s="23" t="n">
        <v>1</v>
      </c>
      <c r="H493" s="23" t="inlineStr">
        <is>
          <t>—</t>
        </is>
      </c>
    </row>
    <row r="494">
      <c r="A494" s="23" t="n">
        <v>490</v>
      </c>
      <c r="B494" s="23" t="inlineStr">
        <is>
          <t>140896</t>
        </is>
      </c>
      <c r="C494" s="23" t="inlineStr">
        <is>
          <t>—</t>
        </is>
      </c>
      <c r="D494" s="23" t="inlineStr">
        <is>
          <t>760764</t>
        </is>
      </c>
      <c r="E494" s="23" t="inlineStr">
        <is>
          <t>SPARE 5M FOOD-GRADE SILICONE TUBE 12x17</t>
        </is>
      </c>
      <c r="F494" s="24" t="n">
        <v>102</v>
      </c>
      <c r="G494" s="23" t="n">
        <v>1</v>
      </c>
      <c r="H494" s="23" t="inlineStr">
        <is>
          <t>—</t>
        </is>
      </c>
    </row>
    <row r="495">
      <c r="A495" s="23" t="n">
        <v>491</v>
      </c>
      <c r="B495" s="23" t="inlineStr">
        <is>
          <t>140898</t>
        </is>
      </c>
      <c r="C495" s="23" t="inlineStr">
        <is>
          <t>—</t>
        </is>
      </c>
      <c r="D495" s="23" t="inlineStr">
        <is>
          <t>760765</t>
        </is>
      </c>
      <c r="E495" s="23" t="inlineStr">
        <is>
          <t>SPARE N.10 PCS. PLUG IN ELBOW FITTING SF 8MM-8MM</t>
        </is>
      </c>
      <c r="F495" s="24" t="n">
        <v>32</v>
      </c>
      <c r="G495" s="23" t="n">
        <v>10</v>
      </c>
      <c r="H495" s="23" t="inlineStr">
        <is>
          <t>—</t>
        </is>
      </c>
    </row>
    <row r="496">
      <c r="A496" s="23" t="n">
        <v>492</v>
      </c>
      <c r="B496" s="23" t="inlineStr">
        <is>
          <t>140897</t>
        </is>
      </c>
      <c r="C496" s="23" t="inlineStr">
        <is>
          <t>—</t>
        </is>
      </c>
      <c r="D496" s="23" t="inlineStr">
        <is>
          <t>760766</t>
        </is>
      </c>
      <c r="E496" s="23" t="inlineStr">
        <is>
          <t>SPARE N. 10 PCS. HOT WATER TANK DRAIN PLUG TUBE TO HOSE D.8mm</t>
        </is>
      </c>
      <c r="F496" s="24" t="n">
        <v>3</v>
      </c>
      <c r="G496" s="23" t="n">
        <v>10</v>
      </c>
      <c r="H496" s="23" t="inlineStr">
        <is>
          <t>—</t>
        </is>
      </c>
    </row>
    <row r="497">
      <c r="A497" s="23" t="n">
        <v>493</v>
      </c>
      <c r="B497" s="23" t="inlineStr">
        <is>
          <t>130251</t>
        </is>
      </c>
      <c r="C497" s="23" t="inlineStr">
        <is>
          <t>—</t>
        </is>
      </c>
      <c r="D497" s="23" t="inlineStr">
        <is>
          <t>760767</t>
        </is>
      </c>
      <c r="E497" s="23" t="inlineStr">
        <is>
          <t>SPARE BRUSHLESS PUMP 12VDC 38A</t>
        </is>
      </c>
      <c r="F497" s="24" t="n">
        <v>20</v>
      </c>
      <c r="G497" s="23" t="n">
        <v>1</v>
      </c>
      <c r="H497" s="23" t="inlineStr">
        <is>
          <t>—</t>
        </is>
      </c>
    </row>
    <row r="498">
      <c r="A498" s="23" t="n">
        <v>494</v>
      </c>
      <c r="B498" s="23" t="inlineStr">
        <is>
          <t>—</t>
        </is>
      </c>
      <c r="C498" s="23" t="inlineStr">
        <is>
          <t>750390</t>
        </is>
      </c>
      <c r="D498" s="23" t="inlineStr">
        <is>
          <t>760768</t>
        </is>
      </c>
      <c r="E498" s="23" t="inlineStr">
        <is>
          <t>SPARE REBEL SUPER HOT 30 PUSH BUTTONS</t>
        </is>
      </c>
      <c r="F498" s="24" t="n">
        <v>8.199999999999999</v>
      </c>
      <c r="G498" s="23" t="n">
        <v>1</v>
      </c>
      <c r="H498" s="23" t="inlineStr">
        <is>
          <t>—</t>
        </is>
      </c>
    </row>
    <row r="499">
      <c r="A499" s="23" t="n">
        <v>495</v>
      </c>
      <c r="B499" s="23" t="inlineStr">
        <is>
          <t>—</t>
        </is>
      </c>
      <c r="C499" s="23" t="inlineStr">
        <is>
          <t>750391</t>
        </is>
      </c>
      <c r="D499" s="23" t="inlineStr">
        <is>
          <t>760769</t>
        </is>
      </c>
      <c r="E499" s="23" t="inlineStr">
        <is>
          <t>SPARE REBEL SUPER HOT 30 KEYPAD</t>
        </is>
      </c>
      <c r="F499" s="24" t="n">
        <v>51</v>
      </c>
      <c r="G499" s="23" t="n">
        <v>1</v>
      </c>
      <c r="H499" s="23" t="inlineStr">
        <is>
          <t>—</t>
        </is>
      </c>
    </row>
    <row r="500">
      <c r="A500" s="23" t="n">
        <v>496</v>
      </c>
      <c r="B500" s="23" t="inlineStr">
        <is>
          <t>120258</t>
        </is>
      </c>
      <c r="C500" s="23" t="inlineStr">
        <is>
          <t>—</t>
        </is>
      </c>
      <c r="D500" s="23" t="inlineStr">
        <is>
          <t>760770</t>
        </is>
      </c>
      <c r="E500" s="23" t="inlineStr">
        <is>
          <t>SPARE REBEL 30 VOL AND REBEL 30 FIZZ VOL OUTLET STAINLESS STEEL TUBE</t>
        </is>
      </c>
      <c r="F500" s="24" t="n">
        <v>3</v>
      </c>
      <c r="G500" s="23" t="n">
        <v>1</v>
      </c>
      <c r="H500" s="23" t="inlineStr">
        <is>
          <t>—</t>
        </is>
      </c>
    </row>
    <row r="501">
      <c r="A501" s="23" t="n">
        <v>497</v>
      </c>
      <c r="B501" s="23" t="inlineStr">
        <is>
          <t>151147</t>
        </is>
      </c>
      <c r="C501" s="23" t="inlineStr">
        <is>
          <t>—</t>
        </is>
      </c>
      <c r="D501" s="23" t="inlineStr">
        <is>
          <t>760771</t>
        </is>
      </c>
      <c r="E501" s="23" t="inlineStr">
        <is>
          <t>SPARE LEVEL CONTROL PLUS AMBIENT AND COLD PORTION CONTROL</t>
        </is>
      </c>
      <c r="F501" s="24" t="n">
        <v>61.2</v>
      </c>
      <c r="G501" s="23" t="n">
        <v>1</v>
      </c>
      <c r="H501" s="23" t="inlineStr">
        <is>
          <t>—</t>
        </is>
      </c>
    </row>
    <row r="502">
      <c r="A502" s="23" t="n">
        <v>498</v>
      </c>
      <c r="B502" s="23" t="inlineStr">
        <is>
          <t>150964</t>
        </is>
      </c>
      <c r="C502" s="23" t="inlineStr">
        <is>
          <t>—</t>
        </is>
      </c>
      <c r="D502" s="23" t="inlineStr">
        <is>
          <t>760772</t>
        </is>
      </c>
      <c r="E502" s="23" t="inlineStr">
        <is>
          <t>SPARE PLASTIC BLACK PUSH BUTTON</t>
        </is>
      </c>
      <c r="F502" s="24" t="n">
        <v>2.3</v>
      </c>
      <c r="G502" s="23" t="n">
        <v>1</v>
      </c>
      <c r="H502" s="23" t="inlineStr">
        <is>
          <t>—</t>
        </is>
      </c>
    </row>
    <row r="503">
      <c r="A503" s="23" t="n">
        <v>499</v>
      </c>
      <c r="B503" s="23" t="inlineStr">
        <is>
          <t>151146</t>
        </is>
      </c>
      <c r="C503" s="23" t="inlineStr">
        <is>
          <t>—</t>
        </is>
      </c>
      <c r="D503" s="23" t="inlineStr">
        <is>
          <t>760773</t>
        </is>
      </c>
      <c r="E503" s="23" t="inlineStr">
        <is>
          <t>SPARE LEVEL CONTROL PLUS AMBIENT, COLD AND FIZZ PORTION CONTROL</t>
        </is>
      </c>
      <c r="F503" s="24" t="n">
        <v>67.3</v>
      </c>
      <c r="G503" s="23" t="n">
        <v>1</v>
      </c>
      <c r="H503" s="23" t="inlineStr">
        <is>
          <t>—</t>
        </is>
      </c>
    </row>
    <row r="504">
      <c r="A504" s="23" t="n">
        <v>500</v>
      </c>
      <c r="B504" s="23" t="inlineStr">
        <is>
          <t>150618</t>
        </is>
      </c>
      <c r="C504" s="23" t="inlineStr">
        <is>
          <t>—</t>
        </is>
      </c>
      <c r="D504" s="23" t="inlineStr">
        <is>
          <t>760774</t>
        </is>
      </c>
      <c r="E504" s="23" t="inlineStr">
        <is>
          <t>SPARE POWER CABLE ARGENTINA 1,8MT IEC</t>
        </is>
      </c>
      <c r="F504" s="24" t="n">
        <v>8</v>
      </c>
      <c r="G504" s="23" t="n">
        <v>1</v>
      </c>
      <c r="H504" s="23" t="inlineStr">
        <is>
          <t>—</t>
        </is>
      </c>
    </row>
    <row r="505">
      <c r="A505" s="23" t="n">
        <v>501</v>
      </c>
      <c r="B505" s="23" t="inlineStr">
        <is>
          <t>140604</t>
        </is>
      </c>
      <c r="C505" s="23" t="inlineStr">
        <is>
          <t>—</t>
        </is>
      </c>
      <c r="D505" s="23" t="inlineStr">
        <is>
          <t>760776</t>
        </is>
      </c>
      <c r="E505" s="23" t="inlineStr">
        <is>
          <t>SPARE PLEXIGLASS ECOCHIC 80 BEER TAP BLACK</t>
        </is>
      </c>
      <c r="F505" s="24" t="n">
        <v>51</v>
      </c>
      <c r="G505" s="23" t="n">
        <v>1</v>
      </c>
      <c r="H505" s="23" t="inlineStr">
        <is>
          <t>—</t>
        </is>
      </c>
    </row>
    <row r="506">
      <c r="A506" s="23" t="n">
        <v>502</v>
      </c>
      <c r="B506" s="23" t="inlineStr">
        <is>
          <t>110172</t>
        </is>
      </c>
      <c r="C506" s="23" t="inlineStr">
        <is>
          <t>—</t>
        </is>
      </c>
      <c r="D506" s="23" t="inlineStr">
        <is>
          <t>760777</t>
        </is>
      </c>
      <c r="E506" s="23" t="inlineStr">
        <is>
          <t>SPARE ECOCHIC 80 STAINLESS STEEL FRONT PANEL</t>
        </is>
      </c>
      <c r="F506" s="24" t="n">
        <v>77.75</v>
      </c>
      <c r="G506" s="23" t="n">
        <v>1</v>
      </c>
      <c r="H506" s="23" t="inlineStr">
        <is>
          <t>—</t>
        </is>
      </c>
    </row>
    <row r="507">
      <c r="A507" s="23" t="n">
        <v>503</v>
      </c>
      <c r="B507" s="23" t="inlineStr">
        <is>
          <t>140182</t>
        </is>
      </c>
      <c r="C507" s="23" t="inlineStr">
        <is>
          <t>—</t>
        </is>
      </c>
      <c r="D507" s="23" t="inlineStr">
        <is>
          <t>760779</t>
        </is>
      </c>
      <c r="E507" s="23" t="inlineStr">
        <is>
          <t>SPARE N.4 PCS. ADJUSTABLE FOOT D.29 M8 H.12</t>
        </is>
      </c>
      <c r="F507" s="24" t="n">
        <v>2.4</v>
      </c>
      <c r="G507" s="23" t="n">
        <v>4</v>
      </c>
      <c r="H507" s="23" t="inlineStr">
        <is>
          <t>—</t>
        </is>
      </c>
    </row>
    <row r="508">
      <c r="A508" s="23" t="n">
        <v>504</v>
      </c>
      <c r="B508" s="23" t="inlineStr">
        <is>
          <t>—</t>
        </is>
      </c>
      <c r="C508" s="23" t="inlineStr">
        <is>
          <t>750251</t>
        </is>
      </c>
      <c r="D508" s="23" t="inlineStr">
        <is>
          <t>760781</t>
        </is>
      </c>
      <c r="E508" s="23" t="inlineStr">
        <is>
          <t>SPARE ECOCHIC THERMOFORMED DRIP TRAY KIT W/GRILL</t>
        </is>
      </c>
      <c r="F508" s="24" t="n">
        <v>33.15</v>
      </c>
      <c r="G508" s="23" t="n">
        <v>1</v>
      </c>
      <c r="H508" s="23" t="inlineStr">
        <is>
          <t>—</t>
        </is>
      </c>
    </row>
    <row r="509">
      <c r="A509" s="23" t="n">
        <v>505</v>
      </c>
      <c r="B509" s="23" t="inlineStr">
        <is>
          <t>120045A</t>
        </is>
      </c>
      <c r="C509" s="23" t="inlineStr">
        <is>
          <t>—</t>
        </is>
      </c>
      <c r="D509" s="23" t="inlineStr">
        <is>
          <t>760784</t>
        </is>
      </c>
      <c r="E509" s="23" t="inlineStr">
        <is>
          <t>SPARE HOT WATER TANK 1LT 230V</t>
        </is>
      </c>
      <c r="F509" s="24" t="n">
        <v>140.6</v>
      </c>
      <c r="G509" s="23" t="n">
        <v>1</v>
      </c>
      <c r="H509" s="23" t="inlineStr">
        <is>
          <t>—</t>
        </is>
      </c>
    </row>
    <row r="510">
      <c r="A510" s="23" t="n">
        <v>506</v>
      </c>
      <c r="B510" s="23" t="inlineStr">
        <is>
          <t>150064</t>
        </is>
      </c>
      <c r="C510" s="23" t="inlineStr">
        <is>
          <t>—</t>
        </is>
      </c>
      <c r="D510" s="23" t="inlineStr">
        <is>
          <t>760785</t>
        </is>
      </c>
      <c r="E510" s="23" t="inlineStr">
        <is>
          <t>SPARE HOT THERMOSTAT FOR FONTEMAGNA HOT</t>
        </is>
      </c>
      <c r="F510" s="24" t="n">
        <v>14</v>
      </c>
      <c r="G510" s="23" t="n">
        <v>1</v>
      </c>
      <c r="H510" s="23" t="inlineStr">
        <is>
          <t>—</t>
        </is>
      </c>
    </row>
    <row r="511">
      <c r="A511" s="23" t="n">
        <v>507</v>
      </c>
      <c r="B511" s="23" t="inlineStr">
        <is>
          <t>150356</t>
        </is>
      </c>
      <c r="C511" s="23" t="inlineStr">
        <is>
          <t>750238</t>
        </is>
      </c>
      <c r="D511" s="23" t="inlineStr">
        <is>
          <t>760786</t>
        </is>
      </c>
      <c r="E511" s="23" t="inlineStr">
        <is>
          <t>SPARE EC EVO OUTLET SOLENOID VALVE 24VAC 1 IN/1 OUT 8MM W/BRACKET</t>
        </is>
      </c>
      <c r="F511" s="24" t="n">
        <v>24.1</v>
      </c>
      <c r="G511" s="23" t="n">
        <v>1</v>
      </c>
      <c r="H511" s="6" t="inlineStr">
        <is>
          <t>BW-0381</t>
        </is>
      </c>
    </row>
    <row r="512">
      <c r="A512" s="23" t="n">
        <v>508</v>
      </c>
      <c r="B512" s="23" t="inlineStr">
        <is>
          <t>140525</t>
        </is>
      </c>
      <c r="C512" s="23" t="inlineStr">
        <is>
          <t>—</t>
        </is>
      </c>
      <c r="D512" s="23" t="inlineStr">
        <is>
          <t>760787</t>
        </is>
      </c>
      <c r="E512" s="23" t="inlineStr">
        <is>
          <t>SPARE ECOCHIC 80 BLACK PLEXIGLASS</t>
        </is>
      </c>
      <c r="F512" s="24" t="n">
        <v>70.25</v>
      </c>
      <c r="G512" s="23" t="n">
        <v>1</v>
      </c>
      <c r="H512" s="23" t="inlineStr">
        <is>
          <t>—</t>
        </is>
      </c>
    </row>
    <row r="513">
      <c r="A513" s="23" t="n">
        <v>509</v>
      </c>
      <c r="B513" s="23" t="inlineStr">
        <is>
          <t>120231</t>
        </is>
      </c>
      <c r="C513" s="23" t="inlineStr">
        <is>
          <t>—</t>
        </is>
      </c>
      <c r="D513" s="23" t="inlineStr">
        <is>
          <t>760789</t>
        </is>
      </c>
      <c r="E513" s="23" t="inlineStr">
        <is>
          <t>SPARE FAN 120x120x25 115V</t>
        </is>
      </c>
      <c r="F513" s="24" t="n">
        <v>18.65</v>
      </c>
      <c r="G513" s="23" t="n">
        <v>1</v>
      </c>
      <c r="H513" s="23" t="inlineStr">
        <is>
          <t>—</t>
        </is>
      </c>
    </row>
    <row r="514">
      <c r="A514" s="23" t="n">
        <v>510</v>
      </c>
      <c r="B514" s="23" t="inlineStr">
        <is>
          <t>150041</t>
        </is>
      </c>
      <c r="C514" s="23" t="inlineStr">
        <is>
          <t>—</t>
        </is>
      </c>
      <c r="D514" s="23" t="inlineStr">
        <is>
          <t>760790</t>
        </is>
      </c>
      <c r="E514" s="23" t="inlineStr">
        <is>
          <t>SPARE THERMOSTAT ETL/UL</t>
        </is>
      </c>
      <c r="F514" s="24" t="n">
        <v>14.65</v>
      </c>
      <c r="G514" s="23" t="n">
        <v>1</v>
      </c>
      <c r="H514" s="23" t="inlineStr">
        <is>
          <t>—</t>
        </is>
      </c>
    </row>
    <row r="515">
      <c r="A515" s="23" t="n">
        <v>511</v>
      </c>
      <c r="B515" s="23" t="inlineStr">
        <is>
          <t>140297</t>
        </is>
      </c>
      <c r="C515" s="23" t="inlineStr">
        <is>
          <t>—</t>
        </is>
      </c>
      <c r="D515" s="23" t="inlineStr">
        <is>
          <t>760791</t>
        </is>
      </c>
      <c r="E515" s="23" t="inlineStr">
        <is>
          <t>SPARE 10M PE CLEAR TUBE 3/8"</t>
        </is>
      </c>
      <c r="F515" s="24" t="n">
        <v>17.5</v>
      </c>
      <c r="G515" s="23" t="n">
        <v>1</v>
      </c>
      <c r="H515" s="23" t="inlineStr">
        <is>
          <t>—</t>
        </is>
      </c>
    </row>
    <row r="516">
      <c r="A516" s="23" t="n">
        <v>512</v>
      </c>
      <c r="B516" s="23" t="inlineStr">
        <is>
          <t>140279</t>
        </is>
      </c>
      <c r="C516" s="23" t="inlineStr">
        <is>
          <t>—</t>
        </is>
      </c>
      <c r="D516" s="23" t="inlineStr">
        <is>
          <t>760792</t>
        </is>
      </c>
      <c r="E516" s="23" t="inlineStr">
        <is>
          <t>SPARE N.10 PCS. TWO WAY DIVIDER 3/8" PI2312S</t>
        </is>
      </c>
      <c r="F516" s="24" t="n">
        <v>18</v>
      </c>
      <c r="G516" s="23" t="n">
        <v>10</v>
      </c>
      <c r="H516" s="23" t="inlineStr">
        <is>
          <t>—</t>
        </is>
      </c>
    </row>
    <row r="517">
      <c r="A517" s="23" t="n">
        <v>513</v>
      </c>
      <c r="B517" s="23" t="inlineStr">
        <is>
          <t>140213</t>
        </is>
      </c>
      <c r="C517" s="23" t="inlineStr">
        <is>
          <t>—</t>
        </is>
      </c>
      <c r="D517" s="23" t="inlineStr">
        <is>
          <t>760793</t>
        </is>
      </c>
      <c r="E517" s="23" t="inlineStr">
        <is>
          <t>SPARE N.10 PCS. SI031012S UNION ELBOW SUPERSEAL 5/16-3/8</t>
        </is>
      </c>
      <c r="F517" s="24" t="n">
        <v>42</v>
      </c>
      <c r="G517" s="23" t="n">
        <v>10</v>
      </c>
      <c r="H517" s="23" t="inlineStr">
        <is>
          <t>—</t>
        </is>
      </c>
    </row>
    <row r="518">
      <c r="A518" s="23" t="n">
        <v>514</v>
      </c>
      <c r="B518" s="23" t="inlineStr">
        <is>
          <t>140295</t>
        </is>
      </c>
      <c r="C518" s="23" t="inlineStr">
        <is>
          <t>—</t>
        </is>
      </c>
      <c r="D518" s="23" t="inlineStr">
        <is>
          <t>760794</t>
        </is>
      </c>
      <c r="E518" s="23" t="inlineStr">
        <is>
          <t>SPARE N.10 PCS. PI4512F6S FEMALE FLARE CONNECTOR FFL 3/8-3/8</t>
        </is>
      </c>
      <c r="F518" s="24" t="n">
        <v>38</v>
      </c>
      <c r="G518" s="23" t="n">
        <v>10</v>
      </c>
      <c r="H518" s="23" t="inlineStr">
        <is>
          <t>—</t>
        </is>
      </c>
    </row>
    <row r="519">
      <c r="A519" s="23" t="n">
        <v>515</v>
      </c>
      <c r="B519" s="23" t="inlineStr">
        <is>
          <t>140236</t>
        </is>
      </c>
      <c r="C519" s="23" t="inlineStr">
        <is>
          <t>—</t>
        </is>
      </c>
      <c r="D519" s="23" t="inlineStr">
        <is>
          <t>760795</t>
        </is>
      </c>
      <c r="E519" s="23" t="inlineStr">
        <is>
          <t>SPARE N.10 PCS. PI0212S UNION TEE 3/8"</t>
        </is>
      </c>
      <c r="F519" s="24" t="n">
        <v>25</v>
      </c>
      <c r="G519" s="23" t="n">
        <v>10</v>
      </c>
      <c r="H519" s="23" t="inlineStr">
        <is>
          <t>—</t>
        </is>
      </c>
    </row>
    <row r="520">
      <c r="A520" s="23" t="n">
        <v>516</v>
      </c>
      <c r="B520" s="23" t="inlineStr">
        <is>
          <t>150487</t>
        </is>
      </c>
      <c r="C520" s="23" t="inlineStr">
        <is>
          <t>750419</t>
        </is>
      </c>
      <c r="D520" s="23" t="inlineStr">
        <is>
          <t>760796</t>
        </is>
      </c>
      <c r="E520" s="23" t="inlineStr">
        <is>
          <t>SPARE SOLENOID VALVE IN 1/4" - OUT 1/4" W/BRACKET REBEL</t>
        </is>
      </c>
      <c r="F520" s="24" t="n">
        <v>19.15</v>
      </c>
      <c r="G520" s="23" t="n">
        <v>1</v>
      </c>
      <c r="H520" s="23" t="inlineStr">
        <is>
          <t>—</t>
        </is>
      </c>
    </row>
    <row r="521">
      <c r="A521" s="23" t="n">
        <v>517</v>
      </c>
      <c r="B521" s="23" t="inlineStr">
        <is>
          <t>150151</t>
        </is>
      </c>
      <c r="C521" s="23" t="inlineStr">
        <is>
          <t>—</t>
        </is>
      </c>
      <c r="D521" s="23" t="inlineStr">
        <is>
          <t>760797</t>
        </is>
      </c>
      <c r="E521" s="23" t="inlineStr">
        <is>
          <t>SPARE TRANSFORMER 115/24V 25VA</t>
        </is>
      </c>
      <c r="F521" s="24" t="n">
        <v>25.25</v>
      </c>
      <c r="G521" s="23" t="n">
        <v>1</v>
      </c>
      <c r="H521" s="23" t="inlineStr">
        <is>
          <t>—</t>
        </is>
      </c>
    </row>
    <row r="522">
      <c r="A522" s="23" t="n">
        <v>518</v>
      </c>
      <c r="B522" s="23" t="inlineStr">
        <is>
          <t>130074</t>
        </is>
      </c>
      <c r="C522" s="23" t="inlineStr">
        <is>
          <t>—</t>
        </is>
      </c>
      <c r="D522" s="23" t="inlineStr">
        <is>
          <t>760798</t>
        </is>
      </c>
      <c r="E522" s="23" t="inlineStr">
        <is>
          <t>SPARE IMMERSION PUMP USA 115</t>
        </is>
      </c>
      <c r="F522" s="24" t="n">
        <v>13.8</v>
      </c>
      <c r="G522" s="23" t="n">
        <v>1</v>
      </c>
      <c r="H522" s="23" t="inlineStr">
        <is>
          <t>—</t>
        </is>
      </c>
    </row>
    <row r="523">
      <c r="A523" s="23" t="n">
        <v>519</v>
      </c>
      <c r="B523" s="23" t="inlineStr">
        <is>
          <t>150102</t>
        </is>
      </c>
      <c r="C523" s="23" t="inlineStr">
        <is>
          <t>—</t>
        </is>
      </c>
      <c r="D523" s="23" t="inlineStr">
        <is>
          <t>760799</t>
        </is>
      </c>
      <c r="E523" s="23" t="inlineStr">
        <is>
          <t>SPARE TRANSFORMER 115/24V 40VA</t>
        </is>
      </c>
      <c r="F523" s="24" t="n">
        <v>34.7</v>
      </c>
      <c r="G523" s="23" t="n">
        <v>1</v>
      </c>
      <c r="H523" s="23" t="inlineStr">
        <is>
          <t>—</t>
        </is>
      </c>
    </row>
    <row r="524">
      <c r="A524" s="23" t="n">
        <v>520</v>
      </c>
      <c r="B524" s="23" t="inlineStr">
        <is>
          <t>810819</t>
        </is>
      </c>
      <c r="C524" s="23" t="inlineStr">
        <is>
          <t>—</t>
        </is>
      </c>
      <c r="D524" s="23" t="inlineStr">
        <is>
          <t>760800</t>
        </is>
      </c>
      <c r="E524" s="23" t="inlineStr">
        <is>
          <t>SPARE HOT WATER TANK INSPECTIONABLE 1LT 115V 1000W ASSEMBLED COUNTERTOP</t>
        </is>
      </c>
      <c r="F524" s="24" t="n">
        <v>123</v>
      </c>
      <c r="G524" s="23" t="n">
        <v>1</v>
      </c>
      <c r="H524" s="23" t="inlineStr">
        <is>
          <t>—</t>
        </is>
      </c>
    </row>
    <row r="525">
      <c r="A525" s="23" t="n">
        <v>521</v>
      </c>
      <c r="B525" s="23" t="inlineStr">
        <is>
          <t>111141</t>
        </is>
      </c>
      <c r="C525" s="23" t="inlineStr">
        <is>
          <t>—</t>
        </is>
      </c>
      <c r="D525" s="23" t="inlineStr">
        <is>
          <t>760802</t>
        </is>
      </c>
      <c r="E525" s="23" t="inlineStr">
        <is>
          <t>SPARE BLUSODA 45 BLACK SIDE PANEL R9005</t>
        </is>
      </c>
      <c r="F525" s="24" t="n">
        <v>37.6</v>
      </c>
      <c r="G525" s="23" t="n">
        <v>1</v>
      </c>
      <c r="H525" s="23" t="inlineStr">
        <is>
          <t>—</t>
        </is>
      </c>
    </row>
    <row r="526">
      <c r="A526" s="23" t="n">
        <v>522</v>
      </c>
      <c r="B526" s="23" t="inlineStr">
        <is>
          <t>111142</t>
        </is>
      </c>
      <c r="C526" s="23" t="inlineStr">
        <is>
          <t>—</t>
        </is>
      </c>
      <c r="D526" s="23" t="inlineStr">
        <is>
          <t>760803</t>
        </is>
      </c>
      <c r="E526" s="23" t="inlineStr">
        <is>
          <t>SPARE BLUSODA 45 BLACK TOP COVER R9005</t>
        </is>
      </c>
      <c r="F526" s="24" t="n">
        <v>31.2</v>
      </c>
      <c r="G526" s="23" t="n">
        <v>1</v>
      </c>
      <c r="H526" s="23" t="inlineStr">
        <is>
          <t>—</t>
        </is>
      </c>
    </row>
    <row r="527">
      <c r="A527" s="23" t="n">
        <v>523</v>
      </c>
      <c r="B527" s="23" t="inlineStr">
        <is>
          <t>150070</t>
        </is>
      </c>
      <c r="C527" s="23" t="inlineStr">
        <is>
          <t>—</t>
        </is>
      </c>
      <c r="D527" s="23" t="inlineStr">
        <is>
          <t>760805</t>
        </is>
      </c>
      <c r="E527" s="23" t="inlineStr">
        <is>
          <t>SPARE DOUBLE SOLENOID VALVE</t>
        </is>
      </c>
      <c r="F527" s="24" t="n">
        <v>94.15000000000001</v>
      </c>
      <c r="G527" s="23" t="n">
        <v>1</v>
      </c>
      <c r="H527" s="23" t="inlineStr">
        <is>
          <t>—</t>
        </is>
      </c>
    </row>
    <row r="528">
      <c r="A528" s="23" t="n">
        <v>524</v>
      </c>
      <c r="B528" s="23" t="inlineStr">
        <is>
          <t>110055</t>
        </is>
      </c>
      <c r="C528" s="23" t="inlineStr">
        <is>
          <t>—</t>
        </is>
      </c>
      <c r="D528" s="23" t="inlineStr">
        <is>
          <t>760806</t>
        </is>
      </c>
      <c r="E528" s="23" t="inlineStr">
        <is>
          <t>SPARE FONTEMAGNA STEEL ALUMINIUM CAP COVER</t>
        </is>
      </c>
      <c r="F528" s="24" t="n">
        <v>129.9</v>
      </c>
      <c r="G528" s="23" t="n">
        <v>1</v>
      </c>
      <c r="H528" s="23" t="inlineStr">
        <is>
          <t>—</t>
        </is>
      </c>
    </row>
    <row r="529">
      <c r="A529" s="23" t="n">
        <v>525</v>
      </c>
      <c r="B529" s="23" t="inlineStr">
        <is>
          <t>140125</t>
        </is>
      </c>
      <c r="C529" s="23" t="inlineStr">
        <is>
          <t>—</t>
        </is>
      </c>
      <c r="D529" s="23" t="inlineStr">
        <is>
          <t>760807</t>
        </is>
      </c>
      <c r="E529" s="23" t="inlineStr">
        <is>
          <t>SPARE SINK STRAINER 1"1/4 D.80 W/PLUG</t>
        </is>
      </c>
      <c r="F529" s="24" t="n">
        <v>14.4</v>
      </c>
      <c r="G529" s="23" t="n">
        <v>1</v>
      </c>
      <c r="H529" s="23" t="inlineStr">
        <is>
          <t>—</t>
        </is>
      </c>
    </row>
    <row r="530">
      <c r="A530" s="23" t="n">
        <v>526</v>
      </c>
      <c r="B530" s="23" t="inlineStr">
        <is>
          <t>110764</t>
        </is>
      </c>
      <c r="C530" s="23" t="inlineStr">
        <is>
          <t>—</t>
        </is>
      </c>
      <c r="D530" s="23" t="inlineStr">
        <is>
          <t>760808</t>
        </is>
      </c>
      <c r="E530" s="23" t="inlineStr">
        <is>
          <t>SPARE FONTEMAGNA LIGHT 3.0 80 AND 150 ALUMINIUM CURVED BASE</t>
        </is>
      </c>
      <c r="F530" s="24" t="n">
        <v>110</v>
      </c>
      <c r="G530" s="23" t="n">
        <v>1</v>
      </c>
      <c r="H530" s="23" t="inlineStr">
        <is>
          <t>—</t>
        </is>
      </c>
    </row>
    <row r="531">
      <c r="A531" s="23" t="n">
        <v>527</v>
      </c>
      <c r="B531" s="23" t="inlineStr">
        <is>
          <t>110496</t>
        </is>
      </c>
      <c r="C531" s="23" t="inlineStr">
        <is>
          <t>—</t>
        </is>
      </c>
      <c r="D531" s="23" t="inlineStr">
        <is>
          <t>760809</t>
        </is>
      </c>
      <c r="E531" s="23" t="inlineStr">
        <is>
          <t>SPARE FONTEMAGNA STEEL 10KG RIGHT PANEL</t>
        </is>
      </c>
      <c r="F531" s="24" t="n">
        <v>109.3</v>
      </c>
      <c r="G531" s="23" t="n">
        <v>1</v>
      </c>
      <c r="H531" s="23" t="inlineStr">
        <is>
          <t>—</t>
        </is>
      </c>
    </row>
    <row r="532">
      <c r="A532" s="23" t="n">
        <v>528</v>
      </c>
      <c r="B532" s="23" t="inlineStr">
        <is>
          <t>150082</t>
        </is>
      </c>
      <c r="C532" s="23" t="inlineStr">
        <is>
          <t>—</t>
        </is>
      </c>
      <c r="D532" s="23" t="inlineStr">
        <is>
          <t>760810</t>
        </is>
      </c>
      <c r="E532" s="23" t="inlineStr">
        <is>
          <t>SPARE FONTEMAGNA/ECOCHIC 150 4MT SCHUKO POWER CABLE</t>
        </is>
      </c>
      <c r="F532" s="24" t="n">
        <v>6.7</v>
      </c>
      <c r="G532" s="23" t="n">
        <v>1</v>
      </c>
      <c r="H532" s="6" t="inlineStr">
        <is>
          <t>BW-0457</t>
        </is>
      </c>
    </row>
    <row r="533">
      <c r="A533" s="23" t="n">
        <v>529</v>
      </c>
      <c r="B533" s="23" t="inlineStr">
        <is>
          <t>140054</t>
        </is>
      </c>
      <c r="C533" s="23" t="inlineStr">
        <is>
          <t>—</t>
        </is>
      </c>
      <c r="D533" s="23" t="inlineStr">
        <is>
          <t>760811</t>
        </is>
      </c>
      <c r="E533" s="23" t="inlineStr">
        <is>
          <t>SPARE CO2 BOTTLE NYLON STRAP 40x810MM</t>
        </is>
      </c>
      <c r="F533" s="24" t="n">
        <v>3.2</v>
      </c>
      <c r="G533" s="23" t="n">
        <v>1</v>
      </c>
      <c r="H533" s="23" t="inlineStr">
        <is>
          <t>—</t>
        </is>
      </c>
    </row>
    <row r="534">
      <c r="A534" s="23" t="n">
        <v>530</v>
      </c>
      <c r="B534" s="23" t="inlineStr">
        <is>
          <t>110008</t>
        </is>
      </c>
      <c r="C534" s="23" t="inlineStr">
        <is>
          <t>—</t>
        </is>
      </c>
      <c r="D534" s="23" t="inlineStr">
        <is>
          <t>760812</t>
        </is>
      </c>
      <c r="E534" s="23" t="inlineStr">
        <is>
          <t>SPARE FONTEMAGNA STEEL FRONT DOOR</t>
        </is>
      </c>
      <c r="F534" s="24" t="n">
        <v>60.75</v>
      </c>
      <c r="G534" s="23" t="n">
        <v>1</v>
      </c>
      <c r="H534" s="23" t="inlineStr">
        <is>
          <t>—</t>
        </is>
      </c>
    </row>
    <row r="535">
      <c r="A535" s="23" t="n">
        <v>531</v>
      </c>
      <c r="B535" s="23" t="inlineStr">
        <is>
          <t>—</t>
        </is>
      </c>
      <c r="C535" s="23" t="inlineStr">
        <is>
          <t>750321</t>
        </is>
      </c>
      <c r="D535" s="23" t="inlineStr">
        <is>
          <t>760813</t>
        </is>
      </c>
      <c r="E535" s="23" t="inlineStr">
        <is>
          <t>SPARE FONTEMAGNA INLET SOLENOID VALVE ASSEMBLY</t>
        </is>
      </c>
      <c r="F535" s="24" t="n">
        <v>40.7</v>
      </c>
      <c r="G535" s="23" t="n">
        <v>1</v>
      </c>
      <c r="H535" s="23" t="inlineStr">
        <is>
          <t>—</t>
        </is>
      </c>
    </row>
    <row r="536">
      <c r="A536" s="23" t="n">
        <v>532</v>
      </c>
      <c r="B536" s="23" t="inlineStr">
        <is>
          <t>150825</t>
        </is>
      </c>
      <c r="C536" s="23" t="inlineStr">
        <is>
          <t>—</t>
        </is>
      </c>
      <c r="D536" s="23" t="inlineStr">
        <is>
          <t>760814</t>
        </is>
      </c>
      <c r="E536" s="23" t="inlineStr">
        <is>
          <t>SPARE TRANSFORMER 230/24V 40VA</t>
        </is>
      </c>
      <c r="F536" s="24" t="n">
        <v>30.7</v>
      </c>
      <c r="G536" s="23" t="n">
        <v>1</v>
      </c>
      <c r="H536" s="23" t="inlineStr">
        <is>
          <t>—</t>
        </is>
      </c>
    </row>
    <row r="537">
      <c r="A537" s="23" t="n">
        <v>533</v>
      </c>
      <c r="B537" s="23" t="inlineStr">
        <is>
          <t>110495</t>
        </is>
      </c>
      <c r="C537" s="23" t="inlineStr">
        <is>
          <t>—</t>
        </is>
      </c>
      <c r="D537" s="23" t="inlineStr">
        <is>
          <t>760815</t>
        </is>
      </c>
      <c r="E537" s="23" t="inlineStr">
        <is>
          <t>SPARE FONTEMAGNA STEEL 10KG LEFT PANEL</t>
        </is>
      </c>
      <c r="F537" s="24" t="n">
        <v>109.3</v>
      </c>
      <c r="G537" s="23" t="n">
        <v>1</v>
      </c>
      <c r="H537" s="23" t="inlineStr">
        <is>
          <t>—</t>
        </is>
      </c>
    </row>
    <row r="538">
      <c r="A538" s="23" t="n">
        <v>534</v>
      </c>
      <c r="B538" s="23" t="inlineStr">
        <is>
          <t>130282</t>
        </is>
      </c>
      <c r="C538" s="23" t="inlineStr">
        <is>
          <t>—</t>
        </is>
      </c>
      <c r="D538" s="23" t="inlineStr">
        <is>
          <t>760816</t>
        </is>
      </c>
      <c r="E538" s="23" t="inlineStr">
        <is>
          <t>SPARE 1L STAINLESS STEEL CARBONATOR 1PROBE</t>
        </is>
      </c>
      <c r="F538" s="24" t="n">
        <v>97.59999999999999</v>
      </c>
      <c r="G538" s="23" t="n">
        <v>1</v>
      </c>
      <c r="H538" s="23" t="inlineStr">
        <is>
          <t>—</t>
        </is>
      </c>
    </row>
    <row r="539">
      <c r="A539" s="23" t="n">
        <v>535</v>
      </c>
      <c r="B539" s="23" t="inlineStr">
        <is>
          <t>110035</t>
        </is>
      </c>
      <c r="C539" s="23" t="inlineStr">
        <is>
          <t>—</t>
        </is>
      </c>
      <c r="D539" s="23" t="inlineStr">
        <is>
          <t>760817</t>
        </is>
      </c>
      <c r="E539" s="23" t="inlineStr">
        <is>
          <t>SPARE FONTEMAGNA LIGHT DRIP TRAY GRILL</t>
        </is>
      </c>
      <c r="F539" s="24" t="n">
        <v>42.35</v>
      </c>
      <c r="G539" s="23" t="n">
        <v>1</v>
      </c>
      <c r="H539" s="23" t="inlineStr">
        <is>
          <t>—</t>
        </is>
      </c>
    </row>
    <row r="540">
      <c r="A540" s="23" t="n">
        <v>536</v>
      </c>
      <c r="B540" s="23" t="inlineStr">
        <is>
          <t>140007</t>
        </is>
      </c>
      <c r="C540" s="23" t="inlineStr">
        <is>
          <t>—</t>
        </is>
      </c>
      <c r="D540" s="23" t="inlineStr">
        <is>
          <t>760818</t>
        </is>
      </c>
      <c r="E540" s="23" t="inlineStr">
        <is>
          <t>SPARE 5M FONTEMAGNA MESH DRAIN TUBE D.12x18</t>
        </is>
      </c>
      <c r="F540" s="24" t="n">
        <v>22</v>
      </c>
      <c r="G540" s="23" t="n">
        <v>1</v>
      </c>
      <c r="H540" s="23" t="inlineStr">
        <is>
          <t>—</t>
        </is>
      </c>
    </row>
    <row r="541">
      <c r="A541" s="23" t="n">
        <v>537</v>
      </c>
      <c r="B541" s="23" t="inlineStr">
        <is>
          <t>140479</t>
        </is>
      </c>
      <c r="C541" s="23" t="inlineStr">
        <is>
          <t>—</t>
        </is>
      </c>
      <c r="D541" s="23" t="inlineStr">
        <is>
          <t>760819</t>
        </is>
      </c>
      <c r="E541" s="23" t="inlineStr">
        <is>
          <t>SPARE HYDRAZON NEW KEYPAD PANEL SUPPORT</t>
        </is>
      </c>
      <c r="F541" s="24" t="n">
        <v>3.4</v>
      </c>
      <c r="G541" s="23" t="n">
        <v>1</v>
      </c>
      <c r="H541" s="23" t="inlineStr">
        <is>
          <t>—</t>
        </is>
      </c>
    </row>
    <row r="542">
      <c r="A542" s="23" t="n">
        <v>538</v>
      </c>
      <c r="B542" s="23" t="inlineStr">
        <is>
          <t>160744</t>
        </is>
      </c>
      <c r="C542" s="23" t="inlineStr">
        <is>
          <t>—</t>
        </is>
      </c>
      <c r="D542" s="23" t="inlineStr">
        <is>
          <t>760820</t>
        </is>
      </c>
      <c r="E542" s="23" t="inlineStr">
        <is>
          <t>SPARE HYDRAZON HOT 15 AND HOT 15 FIZZ LEXAN LABEL</t>
        </is>
      </c>
      <c r="F542" s="24" t="n">
        <v>5.75</v>
      </c>
      <c r="G542" s="23" t="n">
        <v>1</v>
      </c>
      <c r="H542" s="23" t="inlineStr">
        <is>
          <t>—</t>
        </is>
      </c>
    </row>
    <row r="543">
      <c r="A543" s="23" t="n">
        <v>539</v>
      </c>
      <c r="B543" s="23" t="inlineStr">
        <is>
          <t>150462</t>
        </is>
      </c>
      <c r="C543" s="23" t="inlineStr">
        <is>
          <t>750196</t>
        </is>
      </c>
      <c r="D543" s="23" t="inlineStr">
        <is>
          <t>760821</t>
        </is>
      </c>
      <c r="E543" s="23" t="inlineStr">
        <is>
          <t>SPARE HYDRAZON HOT 15 FIZZ ELECTRIC BOARD KIT W/O CONTROL BOARD</t>
        </is>
      </c>
      <c r="F543" s="24" t="n">
        <v>64.7</v>
      </c>
      <c r="G543" s="23" t="n">
        <v>1</v>
      </c>
      <c r="H543" s="23" t="inlineStr">
        <is>
          <t>—</t>
        </is>
      </c>
    </row>
    <row r="544">
      <c r="A544" s="23" t="n">
        <v>540</v>
      </c>
      <c r="B544" s="23" t="inlineStr">
        <is>
          <t>150486</t>
        </is>
      </c>
      <c r="C544" s="23" t="inlineStr">
        <is>
          <t>—</t>
        </is>
      </c>
      <c r="D544" s="23" t="inlineStr">
        <is>
          <t>760822</t>
        </is>
      </c>
      <c r="E544" s="23" t="inlineStr">
        <is>
          <t>SPARE SOLENOID VALVE 3 IN 1/4" - 1 OUT 5/16" W/BRACKET BIOREFRESH</t>
        </is>
      </c>
      <c r="F544" s="24" t="n">
        <v>35.55</v>
      </c>
      <c r="G544" s="23" t="n">
        <v>1</v>
      </c>
      <c r="H544" s="23" t="inlineStr">
        <is>
          <t>—</t>
        </is>
      </c>
    </row>
    <row r="545">
      <c r="A545" s="23" t="n">
        <v>541</v>
      </c>
      <c r="B545" s="23" t="inlineStr">
        <is>
          <t>140381</t>
        </is>
      </c>
      <c r="C545" s="23" t="inlineStr">
        <is>
          <t>—</t>
        </is>
      </c>
      <c r="D545" s="23" t="inlineStr">
        <is>
          <t>760823</t>
        </is>
      </c>
      <c r="E545" s="23" t="inlineStr">
        <is>
          <t>SPARE N.10 PCS. REDUCING UNION CONNECTOR 5/16-1/4 PI201008S</t>
        </is>
      </c>
      <c r="F545" s="24" t="n">
        <v>18.5</v>
      </c>
      <c r="G545" s="23" t="n">
        <v>10</v>
      </c>
      <c r="H545" s="23" t="inlineStr">
        <is>
          <t>—</t>
        </is>
      </c>
    </row>
    <row r="546">
      <c r="A546" s="23" t="n">
        <v>542</v>
      </c>
      <c r="B546" s="23" t="inlineStr">
        <is>
          <t>150485</t>
        </is>
      </c>
      <c r="C546" s="23" t="inlineStr">
        <is>
          <t>—</t>
        </is>
      </c>
      <c r="D546" s="23" t="inlineStr">
        <is>
          <t>760824</t>
        </is>
      </c>
      <c r="E546" s="23" t="inlineStr">
        <is>
          <t>SPARE SOLENOID VALVE 2 IN 1/4" - 1 OUT 5/16" W/BRACKET BIOREFRESH</t>
        </is>
      </c>
      <c r="F546" s="24" t="n">
        <v>26.7</v>
      </c>
      <c r="G546" s="23" t="n">
        <v>1</v>
      </c>
      <c r="H546" s="23" t="inlineStr">
        <is>
          <t>—</t>
        </is>
      </c>
    </row>
    <row r="547">
      <c r="A547" s="23" t="n">
        <v>543</v>
      </c>
      <c r="B547" s="23" t="inlineStr">
        <is>
          <t>160745</t>
        </is>
      </c>
      <c r="C547" s="23" t="inlineStr">
        <is>
          <t>—</t>
        </is>
      </c>
      <c r="D547" s="23" t="inlineStr">
        <is>
          <t>760825</t>
        </is>
      </c>
      <c r="E547" s="23" t="inlineStr">
        <is>
          <t>SPARE HYDRAZON 15 FIZZ LEXAN LABEL</t>
        </is>
      </c>
      <c r="F547" s="24" t="n">
        <v>5.75</v>
      </c>
      <c r="G547" s="23" t="n">
        <v>1</v>
      </c>
      <c r="H547" s="23" t="inlineStr">
        <is>
          <t>—</t>
        </is>
      </c>
    </row>
    <row r="548">
      <c r="A548" s="23" t="n">
        <v>544</v>
      </c>
      <c r="B548" s="23" t="inlineStr">
        <is>
          <t>150474</t>
        </is>
      </c>
      <c r="C548" s="23" t="inlineStr">
        <is>
          <t>—</t>
        </is>
      </c>
      <c r="D548" s="23" t="inlineStr">
        <is>
          <t>760826</t>
        </is>
      </c>
      <c r="E548" s="23" t="inlineStr">
        <is>
          <t>SPARE HYDRAZON 15 FIZZ ELECTRONIC BOARD KIT</t>
        </is>
      </c>
      <c r="F548" s="24" t="n">
        <v>64.7</v>
      </c>
      <c r="G548" s="23" t="n">
        <v>1</v>
      </c>
      <c r="H548" s="23" t="inlineStr">
        <is>
          <t>—</t>
        </is>
      </c>
    </row>
    <row r="549">
      <c r="A549" s="23" t="n">
        <v>545</v>
      </c>
      <c r="B549" s="23" t="inlineStr">
        <is>
          <t>140549</t>
        </is>
      </c>
      <c r="C549" s="23" t="inlineStr">
        <is>
          <t>—</t>
        </is>
      </c>
      <c r="D549" s="23" t="inlineStr">
        <is>
          <t>760827</t>
        </is>
      </c>
      <c r="E549" s="23" t="inlineStr">
        <is>
          <t>SPARE CO2 BOTTLE NYLON BLACK STRAP 20x450</t>
        </is>
      </c>
      <c r="F549" s="24" t="n">
        <v>2.9</v>
      </c>
      <c r="G549" s="23" t="n">
        <v>1</v>
      </c>
      <c r="H549" s="23" t="inlineStr">
        <is>
          <t>—</t>
        </is>
      </c>
    </row>
  </sheetData>
  <autoFilter ref="A4:H5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8" customWidth="1" min="2" max="2"/>
    <col width="32" customWidth="1" min="3" max="3"/>
    <col width="15" customWidth="1" min="4" max="4"/>
    <col width="12" customWidth="1" min="5" max="5"/>
    <col width="14" customWidth="1" min="6" max="6"/>
    <col width="16" customWidth="1" min="7" max="7"/>
    <col width="16" customWidth="1" min="8" max="8"/>
    <col width="26" customWidth="1" min="9" max="9"/>
  </cols>
  <sheetData>
    <row r="1">
      <c r="A1" s="1" t="inlineStr">
        <is>
          <t>Référentiel pièces détachées — 294 SKU</t>
        </is>
      </c>
    </row>
    <row r="2">
      <c r="A2" s="2" t="inlineStr">
        <is>
          <t>Hub technicien croisé avec la base SharePoint 2022 et le tarif Blupura 08.11.2024.</t>
        </is>
      </c>
    </row>
    <row r="4" ht="36" customHeight="1">
      <c r="A4" s="3" t="inlineStr">
        <is>
          <t>SKU BW</t>
        </is>
      </c>
      <c r="B4" s="3" t="inlineStr">
        <is>
          <t>Désignation</t>
        </is>
      </c>
      <c r="C4" s="3" t="inlineStr">
        <is>
          <t>Machines (hub)</t>
        </is>
      </c>
      <c r="D4" s="3" t="inlineStr">
        <is>
          <t>Fournisseur</t>
        </is>
      </c>
      <c r="E4" s="3" t="inlineStr">
        <is>
          <t>Réf. fourn.</t>
        </is>
      </c>
      <c r="F4" s="3" t="inlineStr">
        <is>
          <t>Code Blupura 2024</t>
        </is>
      </c>
      <c r="G4" s="3" t="inlineStr">
        <is>
          <t>Prix achat EUR (2024)</t>
        </is>
      </c>
      <c r="H4" s="3" t="inlineStr">
        <is>
          <t>Prix cat. CHF (2022)</t>
        </is>
      </c>
      <c r="I4" s="3" t="inlineStr">
        <is>
          <t>Remarque</t>
        </is>
      </c>
    </row>
    <row r="5">
      <c r="A5" s="4" t="inlineStr">
        <is>
          <t>BW-0012</t>
        </is>
      </c>
      <c r="B5" s="23" t="inlineStr">
        <is>
          <t>AiR System</t>
        </is>
      </c>
      <c r="C5" s="23" t="inlineStr">
        <is>
          <t>AQTiV COMBI; AQTiV ONE</t>
        </is>
      </c>
      <c r="D5" s="23" t="inlineStr">
        <is>
          <t>BE WTR</t>
        </is>
      </c>
      <c r="E5" s="23" t="inlineStr">
        <is>
          <t>BW-0012</t>
        </is>
      </c>
      <c r="F5" s="23" t="inlineStr">
        <is>
          <t>—</t>
        </is>
      </c>
      <c r="G5" s="24" t="n"/>
      <c r="H5" s="24" t="n"/>
      <c r="I5" s="25" t="inlineStr">
        <is>
          <t>Prix à demander (AS*)</t>
        </is>
      </c>
    </row>
    <row r="6">
      <c r="A6" s="4" t="inlineStr">
        <is>
          <t>BW-0158</t>
        </is>
      </c>
      <c r="B6" s="23" t="inlineStr">
        <is>
          <t>Flow regulator</t>
        </is>
      </c>
      <c r="C6" s="23" t="inlineStr">
        <is>
          <t>BOX 80 I; BOX 120 I</t>
        </is>
      </c>
      <c r="D6" s="23" t="inlineStr"/>
      <c r="E6" s="23" t="inlineStr"/>
      <c r="F6" s="23" t="inlineStr">
        <is>
          <t>—</t>
        </is>
      </c>
      <c r="G6" s="24" t="n"/>
      <c r="H6" s="24" t="n"/>
      <c r="I6" s="25" t="inlineStr">
        <is>
          <t>Absente de la base 2022</t>
        </is>
      </c>
    </row>
    <row r="7">
      <c r="A7" s="4" t="inlineStr">
        <is>
          <t>BW-0159</t>
        </is>
      </c>
      <c r="B7" s="23" t="inlineStr">
        <is>
          <t>PRO1 - PCB Control Board</t>
        </is>
      </c>
      <c r="C7" s="23" t="inlineStr">
        <is>
          <t>PRO1</t>
        </is>
      </c>
      <c r="D7" s="23" t="inlineStr">
        <is>
          <t>Borg&amp;Overström</t>
        </is>
      </c>
      <c r="E7" s="23" t="inlineStr">
        <is>
          <t>701052</t>
        </is>
      </c>
      <c r="F7" s="23" t="inlineStr">
        <is>
          <t>—</t>
        </is>
      </c>
      <c r="G7" s="24" t="n"/>
      <c r="H7" s="24" t="n">
        <v>72.5</v>
      </c>
      <c r="I7" s="23" t="inlineStr"/>
    </row>
    <row r="8">
      <c r="A8" s="4" t="inlineStr">
        <is>
          <t>BW-0160</t>
        </is>
      </c>
      <c r="B8" s="23" t="inlineStr">
        <is>
          <t>PRO1 - Cup Stand</t>
        </is>
      </c>
      <c r="C8" s="23" t="inlineStr">
        <is>
          <t>PRO1</t>
        </is>
      </c>
      <c r="D8" s="23" t="inlineStr">
        <is>
          <t>Borg&amp;Overström</t>
        </is>
      </c>
      <c r="E8" s="23" t="inlineStr">
        <is>
          <t>701409</t>
        </is>
      </c>
      <c r="F8" s="23" t="inlineStr">
        <is>
          <t>—</t>
        </is>
      </c>
      <c r="G8" s="24" t="n"/>
      <c r="H8" s="24" t="n">
        <v>95</v>
      </c>
      <c r="I8" s="23" t="inlineStr"/>
    </row>
    <row r="9">
      <c r="A9" s="4" t="inlineStr">
        <is>
          <t>BW-0161</t>
        </is>
      </c>
      <c r="B9" s="23" t="inlineStr">
        <is>
          <t>PRO1 - Connection cable</t>
        </is>
      </c>
      <c r="C9" s="23" t="inlineStr">
        <is>
          <t>PRO1</t>
        </is>
      </c>
      <c r="D9" s="23" t="inlineStr">
        <is>
          <t>Borg&amp;Overström</t>
        </is>
      </c>
      <c r="E9" s="23" t="inlineStr">
        <is>
          <t>607135</t>
        </is>
      </c>
      <c r="F9" s="23" t="inlineStr">
        <is>
          <t>—</t>
        </is>
      </c>
      <c r="G9" s="24" t="n"/>
      <c r="H9" s="24" t="n">
        <v>20</v>
      </c>
      <c r="I9" s="23" t="inlineStr"/>
    </row>
    <row r="10">
      <c r="A10" s="4" t="inlineStr">
        <is>
          <t>BW-0162</t>
        </is>
      </c>
      <c r="B10" s="23" t="inlineStr">
        <is>
          <t>PRO1 - Connection box side</t>
        </is>
      </c>
      <c r="C10" s="23" t="inlineStr">
        <is>
          <t>PRO1</t>
        </is>
      </c>
      <c r="D10" s="23" t="inlineStr">
        <is>
          <t>Borg&amp;Overström</t>
        </is>
      </c>
      <c r="E10" s="23" t="inlineStr">
        <is>
          <t>702087</t>
        </is>
      </c>
      <c r="F10" s="23" t="inlineStr">
        <is>
          <t>—</t>
        </is>
      </c>
      <c r="G10" s="24" t="n"/>
      <c r="H10" s="24" t="n">
        <v>39</v>
      </c>
      <c r="I10" s="23" t="inlineStr"/>
    </row>
    <row r="11">
      <c r="A11" s="4" t="inlineStr">
        <is>
          <t>BW-0163</t>
        </is>
      </c>
      <c r="B11" s="23" t="inlineStr">
        <is>
          <t>PRO1 - Solenoids control board -A</t>
        </is>
      </c>
      <c r="C11" s="23" t="inlineStr">
        <is>
          <t>PRO1</t>
        </is>
      </c>
      <c r="D11" s="23" t="inlineStr">
        <is>
          <t>Borg&amp;Overström</t>
        </is>
      </c>
      <c r="E11" s="23" t="inlineStr">
        <is>
          <t>637106</t>
        </is>
      </c>
      <c r="F11" s="23" t="inlineStr">
        <is>
          <t>—</t>
        </is>
      </c>
      <c r="G11" s="24" t="n"/>
      <c r="H11" s="24" t="n">
        <v>255</v>
      </c>
      <c r="I11" s="23" t="inlineStr"/>
    </row>
    <row r="12">
      <c r="A12" s="4" t="inlineStr">
        <is>
          <t>BW-0164</t>
        </is>
      </c>
      <c r="B12" s="23" t="inlineStr">
        <is>
          <t>PRO1 - PCB Control board - A</t>
        </is>
      </c>
      <c r="C12" s="23" t="inlineStr">
        <is>
          <t>PRO1</t>
        </is>
      </c>
      <c r="D12" s="23" t="inlineStr">
        <is>
          <t>Borg&amp;Overström</t>
        </is>
      </c>
      <c r="E12" s="23" t="inlineStr">
        <is>
          <t>637107</t>
        </is>
      </c>
      <c r="F12" s="23" t="inlineStr">
        <is>
          <t>—</t>
        </is>
      </c>
      <c r="G12" s="24" t="n"/>
      <c r="H12" s="24" t="n">
        <v>195</v>
      </c>
      <c r="I12" s="23" t="inlineStr"/>
    </row>
    <row r="13">
      <c r="A13" s="4" t="inlineStr">
        <is>
          <t>BW-0165</t>
        </is>
      </c>
      <c r="B13" s="23" t="inlineStr">
        <is>
          <t>Fan 30 - A</t>
        </is>
      </c>
      <c r="C13" s="23" t="inlineStr">
        <is>
          <t>PRO1; BOX 30 (2021)</t>
        </is>
      </c>
      <c r="D13" s="23" t="inlineStr">
        <is>
          <t>Borg&amp;Overström</t>
        </is>
      </c>
      <c r="E13" s="23" t="inlineStr">
        <is>
          <t>637408</t>
        </is>
      </c>
      <c r="F13" s="23" t="inlineStr">
        <is>
          <t>—</t>
        </is>
      </c>
      <c r="G13" s="24" t="n"/>
      <c r="H13" s="24" t="n">
        <v>43</v>
      </c>
      <c r="I13" s="23" t="inlineStr"/>
    </row>
    <row r="14">
      <c r="A14" s="4" t="inlineStr">
        <is>
          <t>BW-0166</t>
        </is>
      </c>
      <c r="B14" s="23" t="inlineStr">
        <is>
          <t>Solenoids 30E - A</t>
        </is>
      </c>
      <c r="C14" s="23" t="inlineStr">
        <is>
          <t>PRO1</t>
        </is>
      </c>
      <c r="D14" s="23" t="inlineStr">
        <is>
          <t>Borg&amp;Overström</t>
        </is>
      </c>
      <c r="E14" s="23" t="inlineStr">
        <is>
          <t>701525</t>
        </is>
      </c>
      <c r="F14" s="23" t="inlineStr">
        <is>
          <t>—</t>
        </is>
      </c>
      <c r="G14" s="24" t="n"/>
      <c r="H14" s="24" t="n">
        <v>270</v>
      </c>
      <c r="I14" s="23" t="inlineStr"/>
    </row>
    <row r="15">
      <c r="A15" s="4" t="inlineStr">
        <is>
          <t>BW-0167</t>
        </is>
      </c>
      <c r="B15" s="23" t="inlineStr">
        <is>
          <t>Controller 30 - A</t>
        </is>
      </c>
      <c r="C15" s="23" t="inlineStr">
        <is>
          <t>PRO1; BOX 30 (2021)</t>
        </is>
      </c>
      <c r="D15" s="23" t="inlineStr">
        <is>
          <t>Borg&amp;Overström</t>
        </is>
      </c>
      <c r="E15" s="23" t="inlineStr">
        <is>
          <t>637326</t>
        </is>
      </c>
      <c r="F15" s="23" t="inlineStr">
        <is>
          <t>—</t>
        </is>
      </c>
      <c r="G15" s="24" t="n"/>
      <c r="H15" s="24" t="n">
        <v>185</v>
      </c>
      <c r="I15" s="23" t="inlineStr"/>
    </row>
    <row r="16">
      <c r="A16" s="4" t="inlineStr">
        <is>
          <t>BW-0168</t>
        </is>
      </c>
      <c r="B16" s="23" t="inlineStr">
        <is>
          <t>Pump - A</t>
        </is>
      </c>
      <c r="C16" s="23" t="inlineStr">
        <is>
          <t>PRO1; BOX 30 (2021)</t>
        </is>
      </c>
      <c r="D16" s="23" t="inlineStr">
        <is>
          <t>Borg&amp;Overström</t>
        </is>
      </c>
      <c r="E16" s="23" t="inlineStr">
        <is>
          <t>637425</t>
        </is>
      </c>
      <c r="F16" s="23" t="inlineStr">
        <is>
          <t>—</t>
        </is>
      </c>
      <c r="G16" s="24" t="n"/>
      <c r="H16" s="24" t="n">
        <v>485</v>
      </c>
      <c r="I16" s="23" t="inlineStr"/>
    </row>
    <row r="17">
      <c r="A17" s="4" t="inlineStr">
        <is>
          <t>BW-0169</t>
        </is>
      </c>
      <c r="B17" s="23" t="inlineStr">
        <is>
          <t>Flow regulator 30 - A</t>
        </is>
      </c>
      <c r="C17" s="23" t="inlineStr">
        <is>
          <t>PRO1; BOX 30 (2021)</t>
        </is>
      </c>
      <c r="D17" s="23" t="inlineStr">
        <is>
          <t>Borg&amp;Overström</t>
        </is>
      </c>
      <c r="E17" s="23" t="inlineStr">
        <is>
          <t>461358</t>
        </is>
      </c>
      <c r="F17" s="23" t="inlineStr">
        <is>
          <t>—</t>
        </is>
      </c>
      <c r="G17" s="24" t="n"/>
      <c r="H17" s="24" t="n">
        <v>56</v>
      </c>
      <c r="I17" s="23" t="inlineStr"/>
    </row>
    <row r="18">
      <c r="A18" s="4" t="inlineStr">
        <is>
          <t>BW-0170</t>
        </is>
      </c>
      <c r="B18" s="23" t="inlineStr">
        <is>
          <t>Fan 30 - B</t>
        </is>
      </c>
      <c r="C18" s="23" t="inlineStr">
        <is>
          <t>BOX 30E; BOX 30</t>
        </is>
      </c>
      <c r="D18" s="23" t="inlineStr">
        <is>
          <t>Borg&amp;Overström</t>
        </is>
      </c>
      <c r="E18" s="23" t="inlineStr">
        <is>
          <t>700085</t>
        </is>
      </c>
      <c r="F18" s="23" t="inlineStr">
        <is>
          <t>—</t>
        </is>
      </c>
      <c r="G18" s="24" t="n"/>
      <c r="H18" s="24" t="n">
        <v>35</v>
      </c>
      <c r="I18" s="23" t="inlineStr"/>
    </row>
    <row r="19">
      <c r="A19" s="4" t="inlineStr">
        <is>
          <t>BW-0171</t>
        </is>
      </c>
      <c r="B19" s="23" t="inlineStr">
        <is>
          <t>Pump 30 - B</t>
        </is>
      </c>
      <c r="C19" s="23" t="inlineStr">
        <is>
          <t>BOX 30E; BOX 30</t>
        </is>
      </c>
      <c r="D19" s="23" t="inlineStr">
        <is>
          <t>Borg&amp;Overström</t>
        </is>
      </c>
      <c r="E19" s="23" t="inlineStr">
        <is>
          <t>701537</t>
        </is>
      </c>
      <c r="F19" s="23" t="inlineStr">
        <is>
          <t>—</t>
        </is>
      </c>
      <c r="G19" s="24" t="n"/>
      <c r="H19" s="24" t="n">
        <v>225</v>
      </c>
      <c r="I19" s="23" t="inlineStr"/>
    </row>
    <row r="20">
      <c r="A20" s="4" t="inlineStr">
        <is>
          <t>BW-0172</t>
        </is>
      </c>
      <c r="B20" s="23" t="inlineStr">
        <is>
          <t>8mm PRV</t>
        </is>
      </c>
      <c r="C20" s="23" t="inlineStr">
        <is>
          <t>BOX 30E; BOX 30</t>
        </is>
      </c>
      <c r="D20" s="23" t="inlineStr">
        <is>
          <t>Borg&amp;Overström</t>
        </is>
      </c>
      <c r="E20" s="23" t="inlineStr">
        <is>
          <t>701076</t>
        </is>
      </c>
      <c r="F20" s="23" t="inlineStr">
        <is>
          <t>—</t>
        </is>
      </c>
      <c r="G20" s="24" t="n"/>
      <c r="H20" s="24" t="n">
        <v>13</v>
      </c>
      <c r="I20" s="23" t="inlineStr"/>
    </row>
    <row r="21">
      <c r="A21" s="4" t="inlineStr">
        <is>
          <t>BW-0173</t>
        </is>
      </c>
      <c r="B21" s="23" t="inlineStr">
        <is>
          <t>Flow compensator 8mm</t>
        </is>
      </c>
      <c r="C21" s="23" t="inlineStr">
        <is>
          <t>BOX 30E; BOX 30</t>
        </is>
      </c>
      <c r="D21" s="23" t="inlineStr">
        <is>
          <t>Borg&amp;Overström</t>
        </is>
      </c>
      <c r="E21" s="23" t="inlineStr">
        <is>
          <t>701263</t>
        </is>
      </c>
      <c r="F21" s="23" t="inlineStr">
        <is>
          <t>—</t>
        </is>
      </c>
      <c r="G21" s="24" t="n"/>
      <c r="H21" s="24" t="n">
        <v>32</v>
      </c>
      <c r="I21" s="23" t="inlineStr"/>
    </row>
    <row r="22">
      <c r="A22" s="4" t="inlineStr">
        <is>
          <t>BW-0174</t>
        </is>
      </c>
      <c r="B22" s="23" t="inlineStr">
        <is>
          <t>PCB Control board 30 - B</t>
        </is>
      </c>
      <c r="C22" s="23" t="inlineStr">
        <is>
          <t>BOX 30</t>
        </is>
      </c>
      <c r="D22" s="23" t="inlineStr">
        <is>
          <t>Borg&amp;Overström</t>
        </is>
      </c>
      <c r="E22" s="23" t="inlineStr">
        <is>
          <t>720148</t>
        </is>
      </c>
      <c r="F22" s="23" t="inlineStr">
        <is>
          <t>—</t>
        </is>
      </c>
      <c r="G22" s="24" t="n"/>
      <c r="H22" s="24" t="n">
        <v>154</v>
      </c>
      <c r="I22" s="23" t="inlineStr"/>
    </row>
    <row r="23">
      <c r="A23" s="4" t="inlineStr">
        <is>
          <t>BW-0175</t>
        </is>
      </c>
      <c r="B23" s="23" t="inlineStr">
        <is>
          <t>Inlet solenoids 3/4" BSP</t>
        </is>
      </c>
      <c r="C23" s="23" t="inlineStr">
        <is>
          <t>BOX 30E</t>
        </is>
      </c>
      <c r="D23" s="23" t="inlineStr">
        <is>
          <t>Borg&amp;Overström</t>
        </is>
      </c>
      <c r="E23" s="23" t="inlineStr">
        <is>
          <t>701094</t>
        </is>
      </c>
      <c r="F23" s="23" t="inlineStr">
        <is>
          <t>—</t>
        </is>
      </c>
      <c r="G23" s="24" t="n"/>
      <c r="H23" s="24" t="n">
        <v>35</v>
      </c>
      <c r="I23" s="23" t="inlineStr"/>
    </row>
    <row r="24">
      <c r="A24" s="4" t="inlineStr">
        <is>
          <t>BW-0176</t>
        </is>
      </c>
      <c r="B24" s="23" t="inlineStr">
        <is>
          <t>Solenoids 30E - B</t>
        </is>
      </c>
      <c r="C24" s="23" t="inlineStr">
        <is>
          <t>BOX 30E</t>
        </is>
      </c>
      <c r="D24" s="23" t="inlineStr">
        <is>
          <t>Borg&amp;Overström</t>
        </is>
      </c>
      <c r="E24" s="23" t="inlineStr">
        <is>
          <t>701515</t>
        </is>
      </c>
      <c r="F24" s="23" t="inlineStr">
        <is>
          <t>—</t>
        </is>
      </c>
      <c r="G24" s="24" t="n"/>
      <c r="H24" s="24" t="n">
        <v>72</v>
      </c>
      <c r="I24" s="23" t="inlineStr"/>
    </row>
    <row r="25">
      <c r="A25" s="4" t="inlineStr">
        <is>
          <t>BW-0177</t>
        </is>
      </c>
      <c r="B25" s="23" t="inlineStr">
        <is>
          <t>BAR1 Tap outlet</t>
        </is>
      </c>
      <c r="C25" s="23" t="inlineStr">
        <is>
          <t>BAR1</t>
        </is>
      </c>
      <c r="D25" s="23" t="inlineStr">
        <is>
          <t>Borg&amp;Overström</t>
        </is>
      </c>
      <c r="E25" s="23" t="inlineStr">
        <is>
          <t>604032</t>
        </is>
      </c>
      <c r="F25" s="23" t="inlineStr">
        <is>
          <t>—</t>
        </is>
      </c>
      <c r="G25" s="24" t="n"/>
      <c r="H25" s="24" t="n">
        <v>105</v>
      </c>
      <c r="I25" s="23" t="inlineStr"/>
    </row>
    <row r="26">
      <c r="A26" s="4" t="inlineStr">
        <is>
          <t>BW-0178</t>
        </is>
      </c>
      <c r="B26" s="23" t="inlineStr">
        <is>
          <t>BAR1 BE WTR label set</t>
        </is>
      </c>
      <c r="C26" s="23" t="inlineStr">
        <is>
          <t>BAR1</t>
        </is>
      </c>
      <c r="D26" s="23" t="inlineStr">
        <is>
          <t>Borg&amp;Overström</t>
        </is>
      </c>
      <c r="E26" s="23" t="inlineStr">
        <is>
          <t>701148</t>
        </is>
      </c>
      <c r="F26" s="23" t="inlineStr">
        <is>
          <t>—</t>
        </is>
      </c>
      <c r="G26" s="24" t="n"/>
      <c r="H26" s="24" t="n">
        <v>9</v>
      </c>
      <c r="I26" s="23" t="inlineStr"/>
    </row>
    <row r="27">
      <c r="A27" s="4" t="inlineStr">
        <is>
          <t>BW-0179</t>
        </is>
      </c>
      <c r="B27" s="23" t="inlineStr">
        <is>
          <t>PRO2 Solenoids</t>
        </is>
      </c>
      <c r="C27" s="23" t="inlineStr">
        <is>
          <t>PRO2</t>
        </is>
      </c>
      <c r="D27" s="23" t="inlineStr">
        <is>
          <t>Borg&amp;Overström</t>
        </is>
      </c>
      <c r="E27" s="23" t="inlineStr">
        <is>
          <t>173241</t>
        </is>
      </c>
      <c r="F27" s="23" t="inlineStr">
        <is>
          <t>—</t>
        </is>
      </c>
      <c r="G27" s="24" t="n"/>
      <c r="H27" s="24" t="n">
        <v>22</v>
      </c>
      <c r="I27" s="23" t="inlineStr"/>
    </row>
    <row r="28">
      <c r="A28" s="4" t="inlineStr">
        <is>
          <t>BW-0180</t>
        </is>
      </c>
      <c r="B28" s="23" t="inlineStr">
        <is>
          <t>PRO2 Cold thermostat</t>
        </is>
      </c>
      <c r="C28" s="23" t="inlineStr">
        <is>
          <t>PRO2</t>
        </is>
      </c>
      <c r="D28" s="23" t="inlineStr">
        <is>
          <t>Borg&amp;Overström</t>
        </is>
      </c>
      <c r="E28" s="23" t="inlineStr">
        <is>
          <t>173264</t>
        </is>
      </c>
      <c r="F28" s="23" t="inlineStr">
        <is>
          <t>—</t>
        </is>
      </c>
      <c r="G28" s="24" t="n"/>
      <c r="H28" s="24" t="n">
        <v>19</v>
      </c>
      <c r="I28" s="23" t="inlineStr"/>
    </row>
    <row r="29">
      <c r="A29" s="4" t="inlineStr">
        <is>
          <t>BW-0181</t>
        </is>
      </c>
      <c r="B29" s="23" t="inlineStr">
        <is>
          <t>PRO2 Fan</t>
        </is>
      </c>
      <c r="C29" s="23" t="inlineStr">
        <is>
          <t>PRO2</t>
        </is>
      </c>
      <c r="D29" s="23" t="inlineStr">
        <is>
          <t>Borg&amp;Overström</t>
        </is>
      </c>
      <c r="E29" s="23" t="inlineStr">
        <is>
          <t>174351</t>
        </is>
      </c>
      <c r="F29" s="23" t="inlineStr">
        <is>
          <t>—</t>
        </is>
      </c>
      <c r="G29" s="24" t="n"/>
      <c r="H29" s="24" t="n">
        <v>25</v>
      </c>
      <c r="I29" s="23" t="inlineStr"/>
    </row>
    <row r="30">
      <c r="A30" s="4" t="inlineStr">
        <is>
          <t>BW-0182</t>
        </is>
      </c>
      <c r="B30" s="23" t="inlineStr">
        <is>
          <t>PRO2 Tank circulation pump</t>
        </is>
      </c>
      <c r="C30" s="23" t="inlineStr">
        <is>
          <t>PRO2</t>
        </is>
      </c>
      <c r="D30" s="23" t="inlineStr">
        <is>
          <t>Borg&amp;Overström</t>
        </is>
      </c>
      <c r="E30" s="23" t="inlineStr">
        <is>
          <t>175363</t>
        </is>
      </c>
      <c r="F30" s="23" t="inlineStr">
        <is>
          <t>—</t>
        </is>
      </c>
      <c r="G30" s="24" t="n"/>
      <c r="H30" s="24" t="n">
        <v>30</v>
      </c>
      <c r="I30" s="23" t="inlineStr"/>
    </row>
    <row r="31">
      <c r="A31" s="4" t="inlineStr">
        <is>
          <t>BW-0183</t>
        </is>
      </c>
      <c r="B31" s="23" t="inlineStr">
        <is>
          <t>Immersion pump</t>
        </is>
      </c>
      <c r="C31" s="23" t="inlineStr">
        <is>
          <t>BOX 80; BOX 150</t>
        </is>
      </c>
      <c r="D31" s="23" t="inlineStr">
        <is>
          <t>Blupura</t>
        </is>
      </c>
      <c r="E31" s="23" t="inlineStr">
        <is>
          <t>810320</t>
        </is>
      </c>
      <c r="F31" s="23" t="inlineStr">
        <is>
          <t>760253</t>
        </is>
      </c>
      <c r="G31" s="24" t="n">
        <v>11.55</v>
      </c>
      <c r="H31" s="24" t="n">
        <v>21</v>
      </c>
      <c r="I31" s="23" t="inlineStr"/>
    </row>
    <row r="32">
      <c r="A32" s="4" t="inlineStr">
        <is>
          <t>BW-0184</t>
        </is>
      </c>
      <c r="B32" s="23" t="inlineStr">
        <is>
          <t>Pump 100L/h</t>
        </is>
      </c>
      <c r="C32" s="23" t="inlineStr">
        <is>
          <t>BOX 80</t>
        </is>
      </c>
      <c r="D32" s="23" t="inlineStr">
        <is>
          <t>Blupura</t>
        </is>
      </c>
      <c r="E32" s="23" t="inlineStr">
        <is>
          <t>130049</t>
        </is>
      </c>
      <c r="F32" s="23" t="inlineStr">
        <is>
          <t>760513</t>
        </is>
      </c>
      <c r="G32" s="24" t="n">
        <v>75.59999999999999</v>
      </c>
      <c r="H32" s="24" t="n">
        <v>121</v>
      </c>
      <c r="I32" s="23" t="inlineStr"/>
    </row>
    <row r="33">
      <c r="A33" s="4" t="inlineStr">
        <is>
          <t>BW-0185</t>
        </is>
      </c>
      <c r="B33" s="23" t="inlineStr">
        <is>
          <t>Flow compensator 8mm</t>
        </is>
      </c>
      <c r="C33" s="23" t="inlineStr">
        <is>
          <t>BAR2 Double; BAR2 Touchless</t>
        </is>
      </c>
      <c r="D33" s="23" t="inlineStr">
        <is>
          <t>Blupura</t>
        </is>
      </c>
      <c r="E33" s="23" t="inlineStr">
        <is>
          <t>140194</t>
        </is>
      </c>
      <c r="F33" s="23" t="inlineStr">
        <is>
          <t>760173</t>
        </is>
      </c>
      <c r="G33" s="24" t="n">
        <v>17</v>
      </c>
      <c r="H33" s="24" t="n">
        <v>30</v>
      </c>
      <c r="I33" s="23" t="inlineStr"/>
    </row>
    <row r="34">
      <c r="A34" s="4" t="inlineStr">
        <is>
          <t>BW-0186</t>
        </is>
      </c>
      <c r="B34" s="23" t="inlineStr">
        <is>
          <t>Cold thermostat - ice bank</t>
        </is>
      </c>
      <c r="C34" s="23" t="inlineStr">
        <is>
          <t>BOX 80; BOX 150</t>
        </is>
      </c>
      <c r="D34" s="23" t="inlineStr">
        <is>
          <t>Blupura</t>
        </is>
      </c>
      <c r="E34" s="23" t="inlineStr">
        <is>
          <t>150031</t>
        </is>
      </c>
      <c r="F34" s="23" t="inlineStr">
        <is>
          <t>760041</t>
        </is>
      </c>
      <c r="G34" s="24" t="n">
        <v>13.4</v>
      </c>
      <c r="H34" s="24" t="n">
        <v>24</v>
      </c>
      <c r="I34" s="23" t="inlineStr"/>
    </row>
    <row r="35">
      <c r="A35" s="4" t="inlineStr">
        <is>
          <t>BW-0187</t>
        </is>
      </c>
      <c r="B35" s="23" t="inlineStr">
        <is>
          <t>Level controller</t>
        </is>
      </c>
      <c r="C35" s="23" t="inlineStr">
        <is>
          <t>BOX 80; BOX 150; BOX 15</t>
        </is>
      </c>
      <c r="D35" s="23" t="inlineStr">
        <is>
          <t>Blupura</t>
        </is>
      </c>
      <c r="E35" s="23" t="inlineStr">
        <is>
          <t>150385</t>
        </is>
      </c>
      <c r="F35" s="23" t="inlineStr">
        <is>
          <t>760060</t>
        </is>
      </c>
      <c r="G35" s="24" t="n">
        <v>54.1</v>
      </c>
      <c r="H35" s="24" t="n">
        <v>89</v>
      </c>
      <c r="I35" s="23" t="inlineStr"/>
    </row>
    <row r="36">
      <c r="A36" s="4" t="inlineStr">
        <is>
          <t>BW-0188</t>
        </is>
      </c>
      <c r="B36" s="23" t="inlineStr">
        <is>
          <t>Motor for pump 200L/h</t>
        </is>
      </c>
      <c r="C36" s="23" t="inlineStr">
        <is>
          <t>BOX 150</t>
        </is>
      </c>
      <c r="D36" s="23" t="inlineStr">
        <is>
          <t>Blupura</t>
        </is>
      </c>
      <c r="E36" s="23" t="inlineStr">
        <is>
          <t>130005A</t>
        </is>
      </c>
      <c r="F36" s="23" t="inlineStr">
        <is>
          <t>760499</t>
        </is>
      </c>
      <c r="G36" s="24" t="n">
        <v>92.90000000000001</v>
      </c>
      <c r="H36" s="24" t="n">
        <v>152</v>
      </c>
      <c r="I36" s="23" t="inlineStr"/>
    </row>
    <row r="37">
      <c r="A37" s="4" t="inlineStr">
        <is>
          <t>BW-0189</t>
        </is>
      </c>
      <c r="B37" s="23" t="inlineStr">
        <is>
          <t>Fan 200x200</t>
        </is>
      </c>
      <c r="C37" s="23" t="inlineStr">
        <is>
          <t>BOX 150</t>
        </is>
      </c>
      <c r="D37" s="23" t="inlineStr">
        <is>
          <t>Blupura</t>
        </is>
      </c>
      <c r="E37" s="23" t="inlineStr">
        <is>
          <t>750066</t>
        </is>
      </c>
      <c r="F37" s="23" t="inlineStr">
        <is>
          <t>760481</t>
        </is>
      </c>
      <c r="G37" s="24" t="n">
        <v>32.65</v>
      </c>
      <c r="H37" s="24" t="n">
        <v>55</v>
      </c>
      <c r="I37" s="23" t="inlineStr"/>
    </row>
    <row r="38">
      <c r="A38" s="4" t="inlineStr">
        <is>
          <t>BW-0190</t>
        </is>
      </c>
      <c r="B38" s="23" t="inlineStr">
        <is>
          <t>UV Lamp</t>
        </is>
      </c>
      <c r="C38" s="23" t="inlineStr">
        <is>
          <t>BAR2 Double; BAR2 Touchless</t>
        </is>
      </c>
      <c r="D38" s="23" t="inlineStr">
        <is>
          <t>Blupura</t>
        </is>
      </c>
      <c r="E38" s="23" t="inlineStr">
        <is>
          <t>150068</t>
        </is>
      </c>
      <c r="F38" s="23" t="inlineStr">
        <is>
          <t>760230</t>
        </is>
      </c>
      <c r="G38" s="24" t="n">
        <v>49.5</v>
      </c>
      <c r="H38" s="24" t="n">
        <v>6</v>
      </c>
      <c r="I38" s="23" t="inlineStr"/>
    </row>
    <row r="39">
      <c r="A39" s="4" t="inlineStr">
        <is>
          <t>BW-0191</t>
        </is>
      </c>
      <c r="B39" s="23" t="inlineStr">
        <is>
          <t>Fan 120x120</t>
        </is>
      </c>
      <c r="C39" s="23" t="inlineStr">
        <is>
          <t>BOX 15</t>
        </is>
      </c>
      <c r="D39" s="23" t="inlineStr">
        <is>
          <t>Blupura</t>
        </is>
      </c>
      <c r="E39" s="23" t="inlineStr">
        <is>
          <t>120232</t>
        </is>
      </c>
      <c r="F39" s="23" t="inlineStr">
        <is>
          <t>760032</t>
        </is>
      </c>
      <c r="G39" s="24" t="n">
        <v>24.8</v>
      </c>
      <c r="H39" s="24" t="n">
        <v>42</v>
      </c>
      <c r="I39" s="23" t="inlineStr"/>
    </row>
    <row r="40">
      <c r="A40" s="4" t="inlineStr">
        <is>
          <t>BW-0192</t>
        </is>
      </c>
      <c r="B40" s="23" t="inlineStr">
        <is>
          <t>BOX 15 - Pump</t>
        </is>
      </c>
      <c r="C40" s="23" t="inlineStr">
        <is>
          <t>BOX 15</t>
        </is>
      </c>
      <c r="D40" s="23" t="inlineStr">
        <is>
          <t>Blupura</t>
        </is>
      </c>
      <c r="E40" s="23" t="inlineStr">
        <is>
          <t>130053</t>
        </is>
      </c>
      <c r="F40" s="23" t="inlineStr">
        <is>
          <t>760033</t>
        </is>
      </c>
      <c r="G40" s="24" t="n">
        <v>152.85</v>
      </c>
      <c r="H40" s="24" t="n">
        <v>264</v>
      </c>
      <c r="I40" s="23" t="inlineStr"/>
    </row>
    <row r="41">
      <c r="A41" s="4" t="inlineStr">
        <is>
          <t>BW-0193</t>
        </is>
      </c>
      <c r="B41" s="23" t="inlineStr">
        <is>
          <t>Flow compensator 6mm</t>
        </is>
      </c>
      <c r="C41" s="23" t="inlineStr">
        <is>
          <t>BOX 15</t>
        </is>
      </c>
      <c r="D41" s="23" t="inlineStr">
        <is>
          <t>Blupura</t>
        </is>
      </c>
      <c r="E41" s="23" t="inlineStr">
        <is>
          <t>140092</t>
        </is>
      </c>
      <c r="F41" s="23" t="inlineStr">
        <is>
          <t>760074</t>
        </is>
      </c>
      <c r="G41" s="24" t="n">
        <v>17</v>
      </c>
      <c r="H41" s="24" t="n">
        <v>29</v>
      </c>
      <c r="I41" s="23" t="inlineStr"/>
    </row>
    <row r="42">
      <c r="A42" s="4" t="inlineStr">
        <is>
          <t>BW-0194</t>
        </is>
      </c>
      <c r="B42" s="23" t="inlineStr">
        <is>
          <t>Cold thermostat - 15</t>
        </is>
      </c>
      <c r="C42" s="23" t="inlineStr">
        <is>
          <t>BOX 15</t>
        </is>
      </c>
      <c r="D42" s="23" t="inlineStr">
        <is>
          <t>Blupura</t>
        </is>
      </c>
      <c r="E42" s="23" t="inlineStr">
        <is>
          <t>150525</t>
        </is>
      </c>
      <c r="F42" s="23" t="inlineStr">
        <is>
          <t>760051</t>
        </is>
      </c>
      <c r="G42" s="24" t="n">
        <v>12.15</v>
      </c>
      <c r="H42" s="24" t="n">
        <v>22</v>
      </c>
      <c r="I42" s="23" t="inlineStr"/>
    </row>
    <row r="43">
      <c r="A43" s="4" t="inlineStr">
        <is>
          <t>BW-0195</t>
        </is>
      </c>
      <c r="B43" s="23" t="inlineStr">
        <is>
          <t>Fan 120x120x38</t>
        </is>
      </c>
      <c r="C43" s="23" t="inlineStr">
        <is>
          <t>BOX 80</t>
        </is>
      </c>
      <c r="D43" s="23" t="inlineStr">
        <is>
          <t>Blupura</t>
        </is>
      </c>
      <c r="E43" s="23" t="inlineStr">
        <is>
          <t>750243</t>
        </is>
      </c>
      <c r="F43" s="23" t="inlineStr">
        <is>
          <t>760049</t>
        </is>
      </c>
      <c r="G43" s="24" t="n">
        <v>23.8</v>
      </c>
      <c r="H43" s="24" t="n">
        <v>40</v>
      </c>
      <c r="I43" s="23" t="inlineStr"/>
    </row>
    <row r="44">
      <c r="A44" s="4" t="inlineStr">
        <is>
          <t>BW-0275</t>
        </is>
      </c>
      <c r="B44" s="23" t="inlineStr">
        <is>
          <t>PRO1 - outlet metal</t>
        </is>
      </c>
      <c r="C44" s="23" t="inlineStr">
        <is>
          <t>PRO1</t>
        </is>
      </c>
      <c r="D44" s="23" t="inlineStr">
        <is>
          <t>Borg&amp;Overström</t>
        </is>
      </c>
      <c r="E44" s="23" t="inlineStr">
        <is>
          <t>701443</t>
        </is>
      </c>
      <c r="F44" s="23" t="inlineStr">
        <is>
          <t>—</t>
        </is>
      </c>
      <c r="G44" s="24" t="n"/>
      <c r="H44" s="24" t="n">
        <v>30</v>
      </c>
      <c r="I44" s="23" t="inlineStr"/>
    </row>
    <row r="45">
      <c r="A45" s="4" t="inlineStr">
        <is>
          <t>BW-0276</t>
        </is>
      </c>
      <c r="B45" s="23" t="inlineStr">
        <is>
          <t>PRO1 - outlet black</t>
        </is>
      </c>
      <c r="C45" s="23" t="inlineStr">
        <is>
          <t>PRO1</t>
        </is>
      </c>
      <c r="D45" s="23" t="inlineStr">
        <is>
          <t>Borg&amp;Overström</t>
        </is>
      </c>
      <c r="E45" s="23" t="inlineStr">
        <is>
          <t>701453</t>
        </is>
      </c>
      <c r="F45" s="23" t="inlineStr">
        <is>
          <t>—</t>
        </is>
      </c>
      <c r="G45" s="24" t="n"/>
      <c r="H45" s="24" t="n">
        <v>30</v>
      </c>
      <c r="I45" s="23" t="inlineStr"/>
    </row>
    <row r="46">
      <c r="A46" s="4" t="inlineStr">
        <is>
          <t>BW-0277</t>
        </is>
      </c>
      <c r="B46" s="23" t="inlineStr">
        <is>
          <t>PRO1 - touch panel - A</t>
        </is>
      </c>
      <c r="C46" s="23" t="inlineStr">
        <is>
          <t>PRO1</t>
        </is>
      </c>
      <c r="D46" s="23" t="inlineStr">
        <is>
          <t>Borg&amp;Overström</t>
        </is>
      </c>
      <c r="E46" s="23" t="inlineStr">
        <is>
          <t>720215</t>
        </is>
      </c>
      <c r="F46" s="23" t="inlineStr">
        <is>
          <t>—</t>
        </is>
      </c>
      <c r="G46" s="24" t="n"/>
      <c r="H46" s="24" t="n">
        <v>149</v>
      </c>
      <c r="I46" s="23" t="inlineStr"/>
    </row>
    <row r="47">
      <c r="A47" s="4" t="inlineStr">
        <is>
          <t>BW-0278</t>
        </is>
      </c>
      <c r="B47" s="23" t="inlineStr">
        <is>
          <t>PRO1 - Laminar flow outlet</t>
        </is>
      </c>
      <c r="C47" s="23" t="inlineStr">
        <is>
          <t>PRO1</t>
        </is>
      </c>
      <c r="D47" s="23" t="inlineStr">
        <is>
          <t>Borg&amp;Overström</t>
        </is>
      </c>
      <c r="E47" s="23" t="inlineStr">
        <is>
          <t>700092</t>
        </is>
      </c>
      <c r="F47" s="23" t="inlineStr">
        <is>
          <t>—</t>
        </is>
      </c>
      <c r="G47" s="24" t="n"/>
      <c r="H47" s="24" t="n">
        <v>7.5</v>
      </c>
      <c r="I47" s="23" t="inlineStr"/>
    </row>
    <row r="48">
      <c r="A48" s="4" t="inlineStr">
        <is>
          <t>BW-0279</t>
        </is>
      </c>
      <c r="B48" s="23" t="inlineStr">
        <is>
          <t>Power supply 12V 30 - A</t>
        </is>
      </c>
      <c r="C48" s="23" t="inlineStr">
        <is>
          <t>PRO1</t>
        </is>
      </c>
      <c r="D48" s="23" t="inlineStr">
        <is>
          <t>Borg&amp;Overström</t>
        </is>
      </c>
      <c r="E48" s="23" t="inlineStr">
        <is>
          <t>637417</t>
        </is>
      </c>
      <c r="F48" s="23" t="inlineStr">
        <is>
          <t>—</t>
        </is>
      </c>
      <c r="G48" s="24" t="n"/>
      <c r="H48" s="24" t="n">
        <v>93</v>
      </c>
      <c r="I48" s="23" t="inlineStr"/>
    </row>
    <row r="49">
      <c r="A49" s="4" t="inlineStr">
        <is>
          <t>BW-0280</t>
        </is>
      </c>
      <c r="B49" s="23" t="inlineStr">
        <is>
          <t>PRO1 touch panel 30E - B</t>
        </is>
      </c>
      <c r="C49" s="23" t="inlineStr">
        <is>
          <t>PRO1</t>
        </is>
      </c>
      <c r="D49" s="23" t="inlineStr">
        <is>
          <t>Borg&amp;Overström</t>
        </is>
      </c>
      <c r="E49" s="23" t="inlineStr">
        <is>
          <t>701012</t>
        </is>
      </c>
      <c r="F49" s="23" t="inlineStr">
        <is>
          <t>—</t>
        </is>
      </c>
      <c r="G49" s="24" t="n"/>
      <c r="H49" s="24" t="n">
        <v>145</v>
      </c>
      <c r="I49" s="23" t="inlineStr"/>
    </row>
    <row r="50">
      <c r="A50" s="4" t="inlineStr">
        <is>
          <t>BW-0281</t>
        </is>
      </c>
      <c r="B50" s="23" t="inlineStr">
        <is>
          <t>Left panel 30 - B</t>
        </is>
      </c>
      <c r="C50" s="23" t="inlineStr">
        <is>
          <t>BOX 30E; BOX 30</t>
        </is>
      </c>
      <c r="D50" s="23" t="inlineStr">
        <is>
          <t>Borg&amp;Overström</t>
        </is>
      </c>
      <c r="E50" s="23" t="inlineStr">
        <is>
          <t>720113</t>
        </is>
      </c>
      <c r="F50" s="23" t="inlineStr">
        <is>
          <t>—</t>
        </is>
      </c>
      <c r="G50" s="24" t="n"/>
      <c r="H50" s="24" t="n">
        <v>33</v>
      </c>
      <c r="I50" s="23" t="inlineStr"/>
    </row>
    <row r="51">
      <c r="A51" s="4" t="inlineStr">
        <is>
          <t>BW-0282</t>
        </is>
      </c>
      <c r="B51" s="23" t="inlineStr">
        <is>
          <t>Right panel 30 - B</t>
        </is>
      </c>
      <c r="C51" s="23" t="inlineStr">
        <is>
          <t>BOX 30E; BOX 30</t>
        </is>
      </c>
      <c r="D51" s="23" t="inlineStr">
        <is>
          <t>Borg&amp;Overström</t>
        </is>
      </c>
      <c r="E51" s="23" t="inlineStr">
        <is>
          <t>720117</t>
        </is>
      </c>
      <c r="F51" s="23" t="inlineStr">
        <is>
          <t>—</t>
        </is>
      </c>
      <c r="G51" s="24" t="n"/>
      <c r="H51" s="24" t="n">
        <v>33</v>
      </c>
      <c r="I51" s="23" t="inlineStr"/>
    </row>
    <row r="52">
      <c r="A52" s="4" t="inlineStr">
        <is>
          <t>BW-0283</t>
        </is>
      </c>
      <c r="B52" s="23" t="inlineStr">
        <is>
          <t>Top panel 30 - B</t>
        </is>
      </c>
      <c r="C52" s="23" t="inlineStr">
        <is>
          <t>BOX 30E; BOX 30</t>
        </is>
      </c>
      <c r="D52" s="23" t="inlineStr">
        <is>
          <t>Borg&amp;Overström</t>
        </is>
      </c>
      <c r="E52" s="23" t="inlineStr">
        <is>
          <t>700721</t>
        </is>
      </c>
      <c r="F52" s="23" t="inlineStr">
        <is>
          <t>—</t>
        </is>
      </c>
      <c r="G52" s="24" t="n"/>
      <c r="H52" s="24" t="n">
        <v>27</v>
      </c>
      <c r="I52" s="23" t="inlineStr"/>
    </row>
    <row r="53">
      <c r="A53" s="4" t="inlineStr">
        <is>
          <t>BW-0284</t>
        </is>
      </c>
      <c r="B53" s="23" t="inlineStr">
        <is>
          <t>Front panel 30 - B</t>
        </is>
      </c>
      <c r="C53" s="23" t="inlineStr">
        <is>
          <t>BOX 30E; BOX 30</t>
        </is>
      </c>
      <c r="D53" s="23" t="inlineStr">
        <is>
          <t>Borg&amp;Overström</t>
        </is>
      </c>
      <c r="E53" s="23" t="inlineStr">
        <is>
          <t>720045</t>
        </is>
      </c>
      <c r="F53" s="23" t="inlineStr">
        <is>
          <t>—</t>
        </is>
      </c>
      <c r="G53" s="24" t="n"/>
      <c r="H53" s="24" t="n">
        <v>115</v>
      </c>
      <c r="I53" s="23" t="inlineStr"/>
    </row>
    <row r="54">
      <c r="A54" s="4" t="inlineStr">
        <is>
          <t>BW-0285</t>
        </is>
      </c>
      <c r="B54" s="23" t="inlineStr">
        <is>
          <t>BAR1 Core</t>
        </is>
      </c>
      <c r="C54" s="23" t="inlineStr">
        <is>
          <t>BAR1</t>
        </is>
      </c>
      <c r="D54" s="23" t="inlineStr">
        <is>
          <t>Borg&amp;Overström</t>
        </is>
      </c>
      <c r="E54" s="23" t="inlineStr">
        <is>
          <t>604606</t>
        </is>
      </c>
      <c r="F54" s="23" t="inlineStr">
        <is>
          <t>—</t>
        </is>
      </c>
      <c r="G54" s="24" t="n"/>
      <c r="H54" s="24" t="n">
        <v>315</v>
      </c>
      <c r="I54" s="23" t="inlineStr"/>
    </row>
    <row r="55">
      <c r="A55" s="4" t="inlineStr">
        <is>
          <t>BW-0286</t>
        </is>
      </c>
      <c r="B55" s="23" t="inlineStr">
        <is>
          <t>BAR1 outlet spacer</t>
        </is>
      </c>
      <c r="C55" s="23" t="inlineStr">
        <is>
          <t>BAR1</t>
        </is>
      </c>
      <c r="D55" s="23" t="inlineStr">
        <is>
          <t>Borg&amp;Overström</t>
        </is>
      </c>
      <c r="E55" s="23" t="inlineStr">
        <is>
          <t>604010</t>
        </is>
      </c>
      <c r="F55" s="23" t="inlineStr">
        <is>
          <t>—</t>
        </is>
      </c>
      <c r="G55" s="24" t="n"/>
      <c r="H55" s="24" t="n">
        <v>7</v>
      </c>
      <c r="I55" s="23" t="inlineStr"/>
    </row>
    <row r="56">
      <c r="A56" s="4" t="inlineStr">
        <is>
          <t>BW-0287</t>
        </is>
      </c>
      <c r="B56" s="23" t="inlineStr">
        <is>
          <t>Carbonator bowl 1L - 80</t>
        </is>
      </c>
      <c r="C56" s="23" t="inlineStr">
        <is>
          <t>BOX 80</t>
        </is>
      </c>
      <c r="D56" s="23" t="inlineStr">
        <is>
          <t>Blupura</t>
        </is>
      </c>
      <c r="E56" s="23" t="inlineStr">
        <is>
          <t>130009</t>
        </is>
      </c>
      <c r="F56" s="23" t="inlineStr">
        <is>
          <t>760035</t>
        </is>
      </c>
      <c r="G56" s="24" t="n">
        <v>79.3</v>
      </c>
      <c r="H56" s="24" t="n">
        <v>132</v>
      </c>
      <c r="I56" s="23" t="inlineStr"/>
    </row>
    <row r="57">
      <c r="A57" s="4" t="inlineStr">
        <is>
          <t>BW-0288</t>
        </is>
      </c>
      <c r="B57" s="23" t="inlineStr">
        <is>
          <t>Carbonator bowl 1L</t>
        </is>
      </c>
      <c r="C57" s="23" t="inlineStr">
        <is>
          <t>BOX 150</t>
        </is>
      </c>
      <c r="D57" s="23" t="inlineStr">
        <is>
          <t>Blupura</t>
        </is>
      </c>
      <c r="E57" s="23" t="inlineStr">
        <is>
          <t>130008</t>
        </is>
      </c>
      <c r="F57" s="23" t="inlineStr">
        <is>
          <t>760037</t>
        </is>
      </c>
      <c r="G57" s="24" t="n">
        <v>97.65000000000001</v>
      </c>
      <c r="H57" s="24" t="n">
        <v>160</v>
      </c>
      <c r="I57" s="23" t="inlineStr"/>
    </row>
    <row r="58">
      <c r="A58" s="4" t="inlineStr">
        <is>
          <t>BW-0289</t>
        </is>
      </c>
      <c r="B58" s="23" t="inlineStr">
        <is>
          <t>BAR2 - Cover nozzle</t>
        </is>
      </c>
      <c r="C58" s="23" t="inlineStr">
        <is>
          <t>BAR2 Double; BAR2 Touchless</t>
        </is>
      </c>
      <c r="D58" s="23" t="inlineStr">
        <is>
          <t>Blupura</t>
        </is>
      </c>
      <c r="E58" s="23" t="inlineStr">
        <is>
          <t>750230</t>
        </is>
      </c>
      <c r="F58" s="23" t="inlineStr">
        <is>
          <t>—</t>
        </is>
      </c>
      <c r="G58" s="24" t="n"/>
      <c r="H58" s="24" t="n">
        <v>52</v>
      </c>
      <c r="I58" s="23" t="inlineStr"/>
    </row>
    <row r="59">
      <c r="A59" s="4" t="inlineStr">
        <is>
          <t>BW-0290</t>
        </is>
      </c>
      <c r="B59" s="23" t="inlineStr">
        <is>
          <t>BAR2 - Main board</t>
        </is>
      </c>
      <c r="C59" s="23" t="inlineStr">
        <is>
          <t>BAR2 Double; BAR2 Touchless</t>
        </is>
      </c>
      <c r="D59" s="23" t="inlineStr">
        <is>
          <t>Blupura</t>
        </is>
      </c>
      <c r="E59" s="23" t="inlineStr">
        <is>
          <t>150576</t>
        </is>
      </c>
      <c r="F59" s="23" t="inlineStr">
        <is>
          <t>760560</t>
        </is>
      </c>
      <c r="G59" s="24" t="n">
        <v>54.1</v>
      </c>
      <c r="H59" s="24" t="n">
        <v>93</v>
      </c>
      <c r="I59" s="23" t="inlineStr"/>
    </row>
    <row r="60">
      <c r="A60" s="4" t="inlineStr">
        <is>
          <t>BW-0291</t>
        </is>
      </c>
      <c r="B60" s="23" t="inlineStr">
        <is>
          <t>ELV 2 in 6 - out 8</t>
        </is>
      </c>
      <c r="C60" s="23" t="inlineStr">
        <is>
          <t>BAR2 Double; BAR2 Touchless</t>
        </is>
      </c>
      <c r="D60" s="23" t="inlineStr">
        <is>
          <t>Blupura</t>
        </is>
      </c>
      <c r="E60" s="23" t="inlineStr">
        <is>
          <t>150551</t>
        </is>
      </c>
      <c r="F60" s="23" t="inlineStr">
        <is>
          <t>760136</t>
        </is>
      </c>
      <c r="G60" s="24" t="n">
        <v>26.7</v>
      </c>
      <c r="H60" s="24" t="n">
        <v>47.5</v>
      </c>
      <c r="I60" s="23" t="inlineStr"/>
    </row>
    <row r="61">
      <c r="A61" s="4" t="inlineStr">
        <is>
          <t>BW-0292</t>
        </is>
      </c>
      <c r="B61" s="23" t="inlineStr">
        <is>
          <t>BAR2 - Volumetric counter</t>
        </is>
      </c>
      <c r="C61" s="23" t="inlineStr">
        <is>
          <t>BAR2 Double; BAR2 Touchless</t>
        </is>
      </c>
      <c r="D61" s="23" t="inlineStr">
        <is>
          <t>Blupura</t>
        </is>
      </c>
      <c r="E61" s="23" t="inlineStr">
        <is>
          <t>150388</t>
        </is>
      </c>
      <c r="F61" s="23" t="inlineStr">
        <is>
          <t>760205</t>
        </is>
      </c>
      <c r="G61" s="24" t="n">
        <v>28.55</v>
      </c>
      <c r="H61" s="24" t="n">
        <v>49</v>
      </c>
      <c r="I61" s="23" t="inlineStr"/>
    </row>
    <row r="62">
      <c r="A62" s="4" t="inlineStr">
        <is>
          <t>BW-0293</t>
        </is>
      </c>
      <c r="B62" s="23" t="inlineStr">
        <is>
          <t>BAR2 - Transformator</t>
        </is>
      </c>
      <c r="C62" s="23" t="inlineStr">
        <is>
          <t>BAR2 Double; BAR2 Touchless</t>
        </is>
      </c>
      <c r="D62" s="23" t="inlineStr">
        <is>
          <t>Blupura</t>
        </is>
      </c>
      <c r="E62" s="23" t="inlineStr">
        <is>
          <t>150016</t>
        </is>
      </c>
      <c r="F62" s="23" t="inlineStr">
        <is>
          <t>760053</t>
        </is>
      </c>
      <c r="G62" s="24" t="n">
        <v>21.75</v>
      </c>
      <c r="H62" s="24" t="n">
        <v>39</v>
      </c>
      <c r="I62" s="23" t="inlineStr"/>
    </row>
    <row r="63">
      <c r="A63" s="4" t="inlineStr">
        <is>
          <t>BW-0294</t>
        </is>
      </c>
      <c r="B63" s="23" t="inlineStr">
        <is>
          <t>BAR2 - Touch free push buttons</t>
        </is>
      </c>
      <c r="C63" s="23" t="inlineStr">
        <is>
          <t>BAR2 Touchless</t>
        </is>
      </c>
      <c r="D63" s="23" t="inlineStr">
        <is>
          <t>Blupura</t>
        </is>
      </c>
      <c r="E63" s="23" t="inlineStr">
        <is>
          <t>810620</t>
        </is>
      </c>
      <c r="F63" s="23" t="inlineStr">
        <is>
          <t>760241</t>
        </is>
      </c>
      <c r="G63" s="24" t="n">
        <v>70</v>
      </c>
      <c r="H63" s="24" t="n">
        <v>95</v>
      </c>
      <c r="I63" s="23" t="inlineStr"/>
    </row>
    <row r="64">
      <c r="A64" s="4" t="inlineStr">
        <is>
          <t>BW-0295</t>
        </is>
      </c>
      <c r="B64" s="23" t="inlineStr">
        <is>
          <t>BAR2 - Drip tray</t>
        </is>
      </c>
      <c r="C64" s="23" t="inlineStr">
        <is>
          <t>BAR2 Double; BAR2 Touchless</t>
        </is>
      </c>
      <c r="D64" s="23" t="inlineStr">
        <is>
          <t>Blupura</t>
        </is>
      </c>
      <c r="E64" s="23" t="inlineStr">
        <is>
          <t>750309</t>
        </is>
      </c>
      <c r="F64" s="23" t="inlineStr">
        <is>
          <t>760622</t>
        </is>
      </c>
      <c r="G64" s="24" t="n">
        <v>51.9</v>
      </c>
      <c r="H64" s="24" t="n">
        <v>90</v>
      </c>
      <c r="I64" s="23" t="inlineStr"/>
    </row>
    <row r="65">
      <c r="A65" s="4" t="inlineStr">
        <is>
          <t>BW-0296</t>
        </is>
      </c>
      <c r="B65" s="23" t="inlineStr">
        <is>
          <t>PRO2 front panel white</t>
        </is>
      </c>
      <c r="C65" s="23" t="inlineStr">
        <is>
          <t>PRO2</t>
        </is>
      </c>
      <c r="D65" s="23" t="inlineStr">
        <is>
          <t>Borg&amp;Overström</t>
        </is>
      </c>
      <c r="E65" s="23" t="inlineStr">
        <is>
          <t>120801</t>
        </is>
      </c>
      <c r="F65" s="23" t="inlineStr">
        <is>
          <t>—</t>
        </is>
      </c>
      <c r="G65" s="24" t="n"/>
      <c r="H65" s="24" t="n">
        <v>41</v>
      </c>
      <c r="I65" s="23" t="inlineStr"/>
    </row>
    <row r="66">
      <c r="A66" s="4" t="inlineStr">
        <is>
          <t>BW-0297</t>
        </is>
      </c>
      <c r="B66" s="23" t="inlineStr">
        <is>
          <t>PRO2 Upper front panel</t>
        </is>
      </c>
      <c r="C66" s="23" t="inlineStr">
        <is>
          <t>PRO2</t>
        </is>
      </c>
      <c r="D66" s="23" t="inlineStr">
        <is>
          <t>Borg&amp;Overström</t>
        </is>
      </c>
      <c r="E66" s="23" t="inlineStr">
        <is>
          <t>120803</t>
        </is>
      </c>
      <c r="F66" s="23" t="inlineStr">
        <is>
          <t>—</t>
        </is>
      </c>
      <c r="G66" s="24" t="n"/>
      <c r="H66" s="24" t="n">
        <v>41</v>
      </c>
      <c r="I66" s="23" t="inlineStr"/>
    </row>
    <row r="67">
      <c r="A67" s="4" t="inlineStr">
        <is>
          <t>BW-0298</t>
        </is>
      </c>
      <c r="B67" s="23" t="inlineStr">
        <is>
          <t>PRO2 110V/240V Main board</t>
        </is>
      </c>
      <c r="C67" s="23" t="inlineStr">
        <is>
          <t>PRO2</t>
        </is>
      </c>
      <c r="D67" s="23" t="inlineStr">
        <is>
          <t>Borg&amp;Overström</t>
        </is>
      </c>
      <c r="E67" s="23" t="inlineStr">
        <is>
          <t>171260</t>
        </is>
      </c>
      <c r="F67" s="23" t="inlineStr">
        <is>
          <t>—</t>
        </is>
      </c>
      <c r="G67" s="24" t="n"/>
      <c r="H67" s="24" t="n">
        <v>83</v>
      </c>
      <c r="I67" s="23" t="inlineStr"/>
    </row>
    <row r="68">
      <c r="A68" s="4" t="inlineStr">
        <is>
          <t>BW-0299</t>
        </is>
      </c>
      <c r="B68" s="23" t="inlineStr">
        <is>
          <t>PRO2 LED Display PCB</t>
        </is>
      </c>
      <c r="C68" s="23" t="inlineStr">
        <is>
          <t>PRO2</t>
        </is>
      </c>
      <c r="D68" s="23" t="inlineStr">
        <is>
          <t>Borg&amp;Overström</t>
        </is>
      </c>
      <c r="E68" s="23" t="inlineStr">
        <is>
          <t>171264</t>
        </is>
      </c>
      <c r="F68" s="23" t="inlineStr">
        <is>
          <t>—</t>
        </is>
      </c>
      <c r="G68" s="24" t="n"/>
      <c r="H68" s="24" t="n">
        <v>56</v>
      </c>
      <c r="I68" s="23" t="inlineStr"/>
    </row>
    <row r="69">
      <c r="A69" s="4" t="inlineStr">
        <is>
          <t>BW-0300</t>
        </is>
      </c>
      <c r="B69" s="23" t="inlineStr">
        <is>
          <t>PRO2 Touch dispense screen PCB</t>
        </is>
      </c>
      <c r="C69" s="23" t="inlineStr">
        <is>
          <t>PRO2</t>
        </is>
      </c>
      <c r="D69" s="23" t="inlineStr">
        <is>
          <t>Borg&amp;Overström</t>
        </is>
      </c>
      <c r="E69" s="23" t="inlineStr">
        <is>
          <t>171265</t>
        </is>
      </c>
      <c r="F69" s="23" t="inlineStr">
        <is>
          <t>—</t>
        </is>
      </c>
      <c r="G69" s="24" t="n"/>
      <c r="H69" s="24" t="n">
        <v>56</v>
      </c>
      <c r="I69" s="23" t="inlineStr"/>
    </row>
    <row r="70">
      <c r="A70" s="4" t="inlineStr">
        <is>
          <t>BW-0301</t>
        </is>
      </c>
      <c r="B70" s="23" t="inlineStr">
        <is>
          <t>PRO2 Power adapter 230V/24VDC 1.5A (Type A)</t>
        </is>
      </c>
      <c r="C70" s="23" t="inlineStr">
        <is>
          <t>PRO2</t>
        </is>
      </c>
      <c r="D70" s="23" t="inlineStr">
        <is>
          <t>Borg&amp;Overström</t>
        </is>
      </c>
      <c r="E70" s="23" t="inlineStr">
        <is>
          <t>174391</t>
        </is>
      </c>
      <c r="F70" s="23" t="inlineStr">
        <is>
          <t>—</t>
        </is>
      </c>
      <c r="G70" s="24" t="n"/>
      <c r="H70" s="24" t="n">
        <v>40</v>
      </c>
      <c r="I70" s="23" t="inlineStr"/>
    </row>
    <row r="71">
      <c r="A71" s="4" t="inlineStr">
        <is>
          <t>BW-0302</t>
        </is>
      </c>
      <c r="B71" s="23" t="inlineStr">
        <is>
          <t>PRO2 chilled - ambient - sparkling touch screen control panel</t>
        </is>
      </c>
      <c r="C71" s="23" t="inlineStr">
        <is>
          <t>PRO2</t>
        </is>
      </c>
      <c r="D71" s="23" t="inlineStr">
        <is>
          <t>Borg&amp;Overström</t>
        </is>
      </c>
      <c r="E71" s="23" t="inlineStr">
        <is>
          <t>191005</t>
        </is>
      </c>
      <c r="F71" s="23" t="inlineStr">
        <is>
          <t>—</t>
        </is>
      </c>
      <c r="G71" s="24" t="n"/>
      <c r="H71" s="24" t="n">
        <v>199</v>
      </c>
      <c r="I71" s="23" t="inlineStr"/>
    </row>
    <row r="72">
      <c r="A72" s="4" t="inlineStr">
        <is>
          <t>BW-0342</t>
        </is>
      </c>
      <c r="B72" s="23" t="inlineStr">
        <is>
          <t>AQTiV ONE - Drip tray grid</t>
        </is>
      </c>
      <c r="C72" s="23" t="inlineStr">
        <is>
          <t>AQTiV ONE</t>
        </is>
      </c>
      <c r="D72" s="23" t="inlineStr">
        <is>
          <t>Superinox</t>
        </is>
      </c>
      <c r="E72" s="23" t="inlineStr">
        <is>
          <t>?</t>
        </is>
      </c>
      <c r="F72" s="23" t="inlineStr">
        <is>
          <t>—</t>
        </is>
      </c>
      <c r="G72" s="24" t="n"/>
      <c r="H72" s="24" t="n"/>
      <c r="I72" s="25" t="inlineStr">
        <is>
          <t>Prix à demander (AS*)</t>
        </is>
      </c>
    </row>
    <row r="73">
      <c r="A73" s="4" t="inlineStr">
        <is>
          <t>BW-0343</t>
        </is>
      </c>
      <c r="B73" s="23" t="inlineStr">
        <is>
          <t>Fixation set AQTiV ONE</t>
        </is>
      </c>
      <c r="C73" s="23" t="inlineStr">
        <is>
          <t>AQTiV ONE</t>
        </is>
      </c>
      <c r="D73" s="23" t="inlineStr">
        <is>
          <t>Superinox</t>
        </is>
      </c>
      <c r="E73" s="23" t="inlineStr">
        <is>
          <t>?</t>
        </is>
      </c>
      <c r="F73" s="23" t="inlineStr">
        <is>
          <t>—</t>
        </is>
      </c>
      <c r="G73" s="24" t="n"/>
      <c r="H73" s="24" t="n"/>
      <c r="I73" s="25" t="inlineStr">
        <is>
          <t>Prix à demander (AS*)</t>
        </is>
      </c>
    </row>
    <row r="74">
      <c r="A74" s="4" t="inlineStr">
        <is>
          <t>BW-0344</t>
        </is>
      </c>
      <c r="B74" s="23" t="inlineStr">
        <is>
          <t>Fixation set AQTiV COMBI</t>
        </is>
      </c>
      <c r="C74" s="23" t="inlineStr">
        <is>
          <t>AQTiV COMBI</t>
        </is>
      </c>
      <c r="D74" s="23" t="inlineStr">
        <is>
          <t>Superinox</t>
        </is>
      </c>
      <c r="E74" s="23" t="inlineStr">
        <is>
          <t>?</t>
        </is>
      </c>
      <c r="F74" s="23" t="inlineStr">
        <is>
          <t>—</t>
        </is>
      </c>
      <c r="G74" s="24" t="n"/>
      <c r="H74" s="24" t="n"/>
      <c r="I74" s="25" t="inlineStr">
        <is>
          <t>Prix à demander (AS*)</t>
        </is>
      </c>
    </row>
    <row r="75">
      <c r="A75" s="4" t="inlineStr">
        <is>
          <t>BW-0345</t>
        </is>
      </c>
      <c r="B75" s="23" t="inlineStr">
        <is>
          <t>Gearbox</t>
        </is>
      </c>
      <c r="C75" s="23" t="inlineStr">
        <is>
          <t>AQTiV COMBI; AQTiV ONE</t>
        </is>
      </c>
      <c r="D75" s="23" t="inlineStr">
        <is>
          <t>Superinox</t>
        </is>
      </c>
      <c r="E75" s="23" t="inlineStr">
        <is>
          <t>R040044S-022</t>
        </is>
      </c>
      <c r="F75" s="23" t="inlineStr">
        <is>
          <t>—</t>
        </is>
      </c>
      <c r="G75" s="24" t="n"/>
      <c r="H75" s="24" t="n"/>
      <c r="I75" s="25" t="inlineStr">
        <is>
          <t>Prix à demander (AS*)</t>
        </is>
      </c>
    </row>
    <row r="76">
      <c r="A76" s="4" t="inlineStr">
        <is>
          <t>BW-0346</t>
        </is>
      </c>
      <c r="B76" s="23" t="inlineStr">
        <is>
          <t>Gearbox nozzle</t>
        </is>
      </c>
      <c r="C76" s="23" t="inlineStr">
        <is>
          <t>AQTiV COMBI; AQTiV ONE</t>
        </is>
      </c>
      <c r="D76" s="23" t="inlineStr">
        <is>
          <t>Superinox</t>
        </is>
      </c>
      <c r="E76" s="23" t="inlineStr">
        <is>
          <t>?</t>
        </is>
      </c>
      <c r="F76" s="23" t="inlineStr">
        <is>
          <t>—</t>
        </is>
      </c>
      <c r="G76" s="24" t="n"/>
      <c r="H76" s="24" t="n"/>
      <c r="I76" s="25" t="inlineStr">
        <is>
          <t>Prix à demander (AS*)</t>
        </is>
      </c>
    </row>
    <row r="77">
      <c r="A77" s="4" t="inlineStr">
        <is>
          <t>BW-0347</t>
        </is>
      </c>
      <c r="B77" s="23" t="inlineStr">
        <is>
          <t>Gearbox aerator</t>
        </is>
      </c>
      <c r="C77" s="23" t="inlineStr">
        <is>
          <t>AQTiV COMBI; AQTiV ONE</t>
        </is>
      </c>
      <c r="D77" s="23" t="inlineStr">
        <is>
          <t>Superinox</t>
        </is>
      </c>
      <c r="E77" s="23" t="inlineStr">
        <is>
          <t>?</t>
        </is>
      </c>
      <c r="F77" s="23" t="inlineStr">
        <is>
          <t>—</t>
        </is>
      </c>
      <c r="G77" s="24" t="n"/>
      <c r="H77" s="24" t="n"/>
      <c r="I77" s="25" t="inlineStr">
        <is>
          <t>Prix à demander (AS*)</t>
        </is>
      </c>
    </row>
    <row r="78">
      <c r="A78" s="4" t="inlineStr">
        <is>
          <t>BW-0348</t>
        </is>
      </c>
      <c r="B78" s="23" t="inlineStr">
        <is>
          <t>NBR O-ring</t>
        </is>
      </c>
      <c r="C78" s="23" t="inlineStr">
        <is>
          <t>AQTiV COMBI</t>
        </is>
      </c>
      <c r="D78" s="23" t="inlineStr">
        <is>
          <t>Neoperl</t>
        </is>
      </c>
      <c r="E78" s="23" t="inlineStr">
        <is>
          <t>55121110000</t>
        </is>
      </c>
      <c r="F78" s="23" t="inlineStr">
        <is>
          <t>—</t>
        </is>
      </c>
      <c r="G78" s="24" t="n"/>
      <c r="H78" s="24" t="n"/>
      <c r="I78" s="25" t="inlineStr">
        <is>
          <t>Prix à demander (AS*)</t>
        </is>
      </c>
    </row>
    <row r="79">
      <c r="A79" s="4" t="inlineStr">
        <is>
          <t>BW-0349</t>
        </is>
      </c>
      <c r="B79" s="23" t="inlineStr">
        <is>
          <t>Honeycomb plastic aerator with O-ring</t>
        </is>
      </c>
      <c r="C79" s="23" t="inlineStr">
        <is>
          <t>AQTiV COMBI</t>
        </is>
      </c>
      <c r="D79" s="23" t="inlineStr">
        <is>
          <t>Superinox</t>
        </is>
      </c>
      <c r="E79" s="23" t="inlineStr">
        <is>
          <t>R014010S-000</t>
        </is>
      </c>
      <c r="F79" s="23" t="inlineStr">
        <is>
          <t>—</t>
        </is>
      </c>
      <c r="G79" s="24" t="n"/>
      <c r="H79" s="24" t="n"/>
      <c r="I79" s="25" t="inlineStr">
        <is>
          <t>Prix à demander (AS*)</t>
        </is>
      </c>
    </row>
    <row r="80">
      <c r="A80" s="4" t="inlineStr">
        <is>
          <t>BW-0366</t>
        </is>
      </c>
      <c r="B80" s="23" t="inlineStr">
        <is>
          <t>PCB Control board 30E - B</t>
        </is>
      </c>
      <c r="C80" s="23" t="inlineStr">
        <is>
          <t>BOX 30E</t>
        </is>
      </c>
      <c r="D80" s="23" t="inlineStr">
        <is>
          <t>Borg&amp;Overström</t>
        </is>
      </c>
      <c r="E80" s="23" t="inlineStr">
        <is>
          <t>720260</t>
        </is>
      </c>
      <c r="F80" s="23" t="inlineStr">
        <is>
          <t>—</t>
        </is>
      </c>
      <c r="G80" s="24" t="n"/>
      <c r="H80" s="24" t="n">
        <v>169</v>
      </c>
      <c r="I80" s="23" t="inlineStr"/>
    </row>
    <row r="81">
      <c r="A81" s="4" t="inlineStr">
        <is>
          <t>BW-0367</t>
        </is>
      </c>
      <c r="B81" s="23" t="inlineStr">
        <is>
          <t>BAR2 – Button switch</t>
        </is>
      </c>
      <c r="C81" s="23" t="inlineStr">
        <is>
          <t>BAR2 Double</t>
        </is>
      </c>
      <c r="D81" s="23" t="inlineStr">
        <is>
          <t>Blupura</t>
        </is>
      </c>
      <c r="E81" s="23" t="inlineStr">
        <is>
          <t>810439</t>
        </is>
      </c>
      <c r="F81" s="23" t="inlineStr">
        <is>
          <t>760620</t>
        </is>
      </c>
      <c r="G81" s="24" t="n">
        <v>6.4</v>
      </c>
      <c r="H81" s="24" t="n"/>
      <c r="I81" s="26" t="inlineStr">
        <is>
          <t>Chiffrable via tarif 2024</t>
        </is>
      </c>
    </row>
    <row r="82">
      <c r="A82" s="4" t="inlineStr">
        <is>
          <t>BW-0368</t>
        </is>
      </c>
      <c r="B82" s="23" t="inlineStr">
        <is>
          <t>BAR2 – Counter gasket</t>
        </is>
      </c>
      <c r="C82" s="23" t="inlineStr">
        <is>
          <t>BAR2 Double; BAR2 Touchless</t>
        </is>
      </c>
      <c r="D82" s="23" t="inlineStr">
        <is>
          <t>Blupura</t>
        </is>
      </c>
      <c r="E82" s="23" t="inlineStr">
        <is>
          <t>140564</t>
        </is>
      </c>
      <c r="F82" s="23" t="inlineStr">
        <is>
          <t>—</t>
        </is>
      </c>
      <c r="G82" s="24" t="n"/>
      <c r="H82" s="24" t="n"/>
      <c r="I82" s="25" t="inlineStr">
        <is>
          <t>Prix à demander (AS*)</t>
        </is>
      </c>
    </row>
    <row r="83">
      <c r="A83" s="4" t="inlineStr">
        <is>
          <t>BW-0369</t>
        </is>
      </c>
      <c r="B83" s="23" t="inlineStr">
        <is>
          <t>BAR2 – Fixing plate</t>
        </is>
      </c>
      <c r="C83" s="23" t="inlineStr">
        <is>
          <t>BAR2 Double; BAR2 Touchless</t>
        </is>
      </c>
      <c r="D83" s="23" t="inlineStr">
        <is>
          <t>Blupura</t>
        </is>
      </c>
      <c r="E83" s="23" t="inlineStr">
        <is>
          <t>111012</t>
        </is>
      </c>
      <c r="F83" s="23" t="inlineStr">
        <is>
          <t>—</t>
        </is>
      </c>
      <c r="G83" s="24" t="n"/>
      <c r="H83" s="24" t="n"/>
      <c r="I83" s="25" t="inlineStr">
        <is>
          <t>Prix à demander (AS*)</t>
        </is>
      </c>
    </row>
    <row r="84">
      <c r="A84" s="4" t="inlineStr">
        <is>
          <t>BW-0370</t>
        </is>
      </c>
      <c r="B84" s="23" t="inlineStr">
        <is>
          <t>BAR2 – Fixing nut 1 ½” G</t>
        </is>
      </c>
      <c r="C84" s="23" t="inlineStr">
        <is>
          <t>BAR2 Double; BAR2 Touchless</t>
        </is>
      </c>
      <c r="D84" s="23" t="inlineStr">
        <is>
          <t>Blupura</t>
        </is>
      </c>
      <c r="E84" s="23" t="inlineStr">
        <is>
          <t>130200</t>
        </is>
      </c>
      <c r="F84" s="23" t="inlineStr">
        <is>
          <t>—</t>
        </is>
      </c>
      <c r="G84" s="24" t="n"/>
      <c r="H84" s="24" t="n"/>
      <c r="I84" s="25" t="inlineStr">
        <is>
          <t>Prix à demander (AS*)</t>
        </is>
      </c>
    </row>
    <row r="85">
      <c r="A85" s="4" t="inlineStr">
        <is>
          <t>BW-0371</t>
        </is>
      </c>
      <c r="B85" s="23" t="inlineStr">
        <is>
          <t>BAR2 – Power cable EU</t>
        </is>
      </c>
      <c r="C85" s="23" t="inlineStr">
        <is>
          <t>BAR2 Double</t>
        </is>
      </c>
      <c r="D85" s="23" t="inlineStr">
        <is>
          <t>Blupura</t>
        </is>
      </c>
      <c r="E85" s="23" t="inlineStr">
        <is>
          <t>150074</t>
        </is>
      </c>
      <c r="F85" s="23" t="inlineStr">
        <is>
          <t>760621</t>
        </is>
      </c>
      <c r="G85" s="24" t="n">
        <v>8.75</v>
      </c>
      <c r="H85" s="24" t="n"/>
      <c r="I85" s="26" t="inlineStr">
        <is>
          <t>Chiffrable via tarif 2024</t>
        </is>
      </c>
    </row>
    <row r="86">
      <c r="A86" s="4" t="inlineStr">
        <is>
          <t>BW-0372</t>
        </is>
      </c>
      <c r="B86" s="23" t="inlineStr">
        <is>
          <t>BAR2 - Driptray drain connection</t>
        </is>
      </c>
      <c r="C86" s="23" t="inlineStr">
        <is>
          <t>BAR2 Double; BAR2 Touchless</t>
        </is>
      </c>
      <c r="D86" s="23" t="inlineStr">
        <is>
          <t>Blupura</t>
        </is>
      </c>
      <c r="E86" s="23" t="inlineStr">
        <is>
          <t>140366</t>
        </is>
      </c>
      <c r="F86" s="23" t="inlineStr">
        <is>
          <t>760083</t>
        </is>
      </c>
      <c r="G86" s="24" t="n">
        <v>1.75</v>
      </c>
      <c r="H86" s="24" t="n"/>
      <c r="I86" s="26" t="inlineStr">
        <is>
          <t>Chiffrable via tarif 2024</t>
        </is>
      </c>
    </row>
    <row r="87">
      <c r="A87" s="4" t="inlineStr">
        <is>
          <t>BW-0373</t>
        </is>
      </c>
      <c r="B87" s="23" t="inlineStr">
        <is>
          <t>BAR2 – Front glass</t>
        </is>
      </c>
      <c r="C87" s="23" t="inlineStr">
        <is>
          <t>BAR2 Double; BAR2 Touchless</t>
        </is>
      </c>
      <c r="D87" s="23" t="inlineStr">
        <is>
          <t>Blupura</t>
        </is>
      </c>
      <c r="E87" s="23" t="inlineStr">
        <is>
          <t>140816</t>
        </is>
      </c>
      <c r="F87" s="23" t="inlineStr">
        <is>
          <t>—</t>
        </is>
      </c>
      <c r="G87" s="24" t="n"/>
      <c r="H87" s="24" t="n"/>
      <c r="I87" s="25" t="inlineStr">
        <is>
          <t>Prix à demander (AS*)</t>
        </is>
      </c>
    </row>
    <row r="88">
      <c r="A88" s="4" t="inlineStr">
        <is>
          <t>BW-0374</t>
        </is>
      </c>
      <c r="B88" s="23" t="inlineStr">
        <is>
          <t>BAR2 – Bottle guides</t>
        </is>
      </c>
      <c r="C88" s="23" t="inlineStr">
        <is>
          <t>BAR2 Double; BAR2 Touchless</t>
        </is>
      </c>
      <c r="D88" s="23" t="inlineStr">
        <is>
          <t>Blupura</t>
        </is>
      </c>
      <c r="E88" s="23" t="inlineStr">
        <is>
          <t>110375</t>
        </is>
      </c>
      <c r="F88" s="23" t="inlineStr">
        <is>
          <t>—</t>
        </is>
      </c>
      <c r="G88" s="24" t="n"/>
      <c r="H88" s="24" t="n"/>
      <c r="I88" s="25" t="inlineStr">
        <is>
          <t>Prix à demander (AS*)</t>
        </is>
      </c>
    </row>
    <row r="89">
      <c r="A89" s="4" t="inlineStr">
        <is>
          <t>BW-0375</t>
        </is>
      </c>
      <c r="B89" s="23" t="inlineStr">
        <is>
          <t>BAR2 – Spring breaker</t>
        </is>
      </c>
      <c r="C89" s="23" t="inlineStr">
        <is>
          <t>BAR2 Double; BAR2 Touchless</t>
        </is>
      </c>
      <c r="D89" s="23" t="inlineStr">
        <is>
          <t>Blupura</t>
        </is>
      </c>
      <c r="E89" s="23" t="inlineStr">
        <is>
          <t>110445</t>
        </is>
      </c>
      <c r="F89" s="23" t="inlineStr">
        <is>
          <t>—</t>
        </is>
      </c>
      <c r="G89" s="24" t="n"/>
      <c r="H89" s="24" t="n"/>
      <c r="I89" s="25" t="inlineStr">
        <is>
          <t>Prix à demander (AS*)</t>
        </is>
      </c>
    </row>
    <row r="90">
      <c r="A90" s="4" t="inlineStr">
        <is>
          <t>BW-0376</t>
        </is>
      </c>
      <c r="B90" s="23" t="inlineStr">
        <is>
          <t>BAR2 – UVC out</t>
        </is>
      </c>
      <c r="C90" s="23" t="inlineStr">
        <is>
          <t>BAR2 Double</t>
        </is>
      </c>
      <c r="D90" s="23" t="inlineStr">
        <is>
          <t>Blupura</t>
        </is>
      </c>
      <c r="E90" s="23" t="inlineStr">
        <is>
          <t>810618</t>
        </is>
      </c>
      <c r="F90" s="23" t="inlineStr">
        <is>
          <t>760534</t>
        </is>
      </c>
      <c r="G90" s="24" t="n">
        <v>66</v>
      </c>
      <c r="H90" s="24" t="n"/>
      <c r="I90" s="26" t="inlineStr">
        <is>
          <t>Chiffrable via tarif 2024</t>
        </is>
      </c>
    </row>
    <row r="91">
      <c r="A91" s="4" t="inlineStr">
        <is>
          <t>BW-0377</t>
        </is>
      </c>
      <c r="B91" s="23" t="inlineStr">
        <is>
          <t>BAR2 – SPRK button 7mm</t>
        </is>
      </c>
      <c r="C91" s="23" t="inlineStr">
        <is>
          <t>BAR2 Double</t>
        </is>
      </c>
      <c r="D91" s="23" t="inlineStr">
        <is>
          <t>Blupura</t>
        </is>
      </c>
      <c r="E91" s="23" t="inlineStr">
        <is>
          <t>810697</t>
        </is>
      </c>
      <c r="F91" s="23" t="inlineStr">
        <is>
          <t>—</t>
        </is>
      </c>
      <c r="G91" s="24" t="n"/>
      <c r="H91" s="24" t="n"/>
      <c r="I91" s="25" t="inlineStr">
        <is>
          <t>Prix à demander (AS*)</t>
        </is>
      </c>
    </row>
    <row r="92">
      <c r="A92" s="4" t="inlineStr">
        <is>
          <t>BW-0378</t>
        </is>
      </c>
      <c r="B92" s="23" t="inlineStr">
        <is>
          <t>BAR2 – STLL button 7mm</t>
        </is>
      </c>
      <c r="C92" s="23" t="inlineStr">
        <is>
          <t>BAR2 Double</t>
        </is>
      </c>
      <c r="D92" s="23" t="inlineStr">
        <is>
          <t>Blupura</t>
        </is>
      </c>
      <c r="E92" s="23" t="inlineStr">
        <is>
          <t>810698</t>
        </is>
      </c>
      <c r="F92" s="23" t="inlineStr">
        <is>
          <t>—</t>
        </is>
      </c>
      <c r="G92" s="24" t="n"/>
      <c r="H92" s="24" t="n"/>
      <c r="I92" s="25" t="inlineStr">
        <is>
          <t>Prix à demander (AS*)</t>
        </is>
      </c>
    </row>
    <row r="93">
      <c r="A93" s="4" t="inlineStr">
        <is>
          <t>BW-0379</t>
        </is>
      </c>
      <c r="B93" s="23" t="inlineStr">
        <is>
          <t>BAR2 -  STLL button 10mm</t>
        </is>
      </c>
      <c r="C93" s="23" t="inlineStr">
        <is>
          <t>BAR2 Double</t>
        </is>
      </c>
      <c r="D93" s="23" t="inlineStr">
        <is>
          <t>Blupura</t>
        </is>
      </c>
      <c r="E93" s="23" t="inlineStr">
        <is>
          <t>810696</t>
        </is>
      </c>
      <c r="F93" s="23" t="inlineStr">
        <is>
          <t>—</t>
        </is>
      </c>
      <c r="G93" s="24" t="n"/>
      <c r="H93" s="24" t="n"/>
      <c r="I93" s="25" t="inlineStr">
        <is>
          <t>Prix à demander (AS*)</t>
        </is>
      </c>
    </row>
    <row r="94">
      <c r="A94" s="4" t="inlineStr">
        <is>
          <t>BW-0380</t>
        </is>
      </c>
      <c r="B94" s="23" t="inlineStr">
        <is>
          <t>BAR2 – SPRK button 10mm</t>
        </is>
      </c>
      <c r="C94" s="23" t="inlineStr">
        <is>
          <t>BAR2 Double</t>
        </is>
      </c>
      <c r="D94" s="23" t="inlineStr">
        <is>
          <t>Blupura</t>
        </is>
      </c>
      <c r="E94" s="23" t="inlineStr">
        <is>
          <t>810695</t>
        </is>
      </c>
      <c r="F94" s="23" t="inlineStr">
        <is>
          <t>—</t>
        </is>
      </c>
      <c r="G94" s="24" t="n"/>
      <c r="H94" s="24" t="n"/>
      <c r="I94" s="25" t="inlineStr">
        <is>
          <t>Prix à demander (AS*)</t>
        </is>
      </c>
    </row>
    <row r="95">
      <c r="A95" s="4" t="inlineStr">
        <is>
          <t>BW-0381</t>
        </is>
      </c>
      <c r="B95" s="23" t="inlineStr">
        <is>
          <t>BAR2 – Solenoid valve</t>
        </is>
      </c>
      <c r="C95" s="23" t="inlineStr">
        <is>
          <t>BAR2 Double; BAR2 Touchless</t>
        </is>
      </c>
      <c r="D95" s="23" t="inlineStr">
        <is>
          <t>Blupura</t>
        </is>
      </c>
      <c r="E95" s="23" t="inlineStr">
        <is>
          <t>150356</t>
        </is>
      </c>
      <c r="F95" s="23" t="inlineStr">
        <is>
          <t>760086</t>
        </is>
      </c>
      <c r="G95" s="24" t="n">
        <v>20.3</v>
      </c>
      <c r="H95" s="24" t="n"/>
      <c r="I95" s="26" t="inlineStr">
        <is>
          <t>Chiffrable via tarif 2024</t>
        </is>
      </c>
    </row>
    <row r="96">
      <c r="A96" s="4" t="inlineStr">
        <is>
          <t>BW-0382</t>
        </is>
      </c>
      <c r="B96" s="23" t="inlineStr">
        <is>
          <t>BAR2 – Cap ring nut</t>
        </is>
      </c>
      <c r="C96" s="23" t="inlineStr">
        <is>
          <t>BAR2 Double; BAR2 Touchless</t>
        </is>
      </c>
      <c r="D96" s="23" t="inlineStr">
        <is>
          <t>Blupura</t>
        </is>
      </c>
      <c r="E96" s="23" t="inlineStr">
        <is>
          <t>110274</t>
        </is>
      </c>
      <c r="F96" s="23" t="inlineStr">
        <is>
          <t>—</t>
        </is>
      </c>
      <c r="G96" s="24" t="n"/>
      <c r="H96" s="24" t="n"/>
      <c r="I96" s="25" t="inlineStr">
        <is>
          <t>Prix à demander (AS*)</t>
        </is>
      </c>
    </row>
    <row r="97">
      <c r="A97" s="4" t="inlineStr">
        <is>
          <t>BW-0383</t>
        </is>
      </c>
      <c r="B97" s="23" t="inlineStr">
        <is>
          <t>BAR2 – LED holder</t>
        </is>
      </c>
      <c r="C97" s="23" t="inlineStr">
        <is>
          <t>BAR2 Double; BAR2 Touchless</t>
        </is>
      </c>
      <c r="D97" s="23" t="inlineStr">
        <is>
          <t>Blupura</t>
        </is>
      </c>
      <c r="E97" s="23" t="inlineStr">
        <is>
          <t>140251</t>
        </is>
      </c>
      <c r="F97" s="23" t="inlineStr">
        <is>
          <t>760206</t>
        </is>
      </c>
      <c r="G97" s="24" t="n">
        <v>2.35</v>
      </c>
      <c r="H97" s="24" t="n"/>
      <c r="I97" s="26" t="inlineStr">
        <is>
          <t>Chiffrable via tarif 2024</t>
        </is>
      </c>
    </row>
    <row r="98">
      <c r="A98" s="4" t="inlineStr">
        <is>
          <t>BW-0384</t>
        </is>
      </c>
      <c r="B98" s="23" t="inlineStr">
        <is>
          <t>BAR2 – Exit valves bracket</t>
        </is>
      </c>
      <c r="C98" s="23" t="inlineStr">
        <is>
          <t>BAR2 Double; BAR2 Touchless</t>
        </is>
      </c>
      <c r="D98" s="23" t="inlineStr">
        <is>
          <t>Blupura</t>
        </is>
      </c>
      <c r="E98" s="23" t="inlineStr">
        <is>
          <t>111011</t>
        </is>
      </c>
      <c r="F98" s="23" t="inlineStr">
        <is>
          <t>—</t>
        </is>
      </c>
      <c r="G98" s="24" t="n"/>
      <c r="H98" s="24" t="n"/>
      <c r="I98" s="25" t="inlineStr">
        <is>
          <t>Prix à demander (AS*)</t>
        </is>
      </c>
    </row>
    <row r="99">
      <c r="A99" s="4" t="inlineStr">
        <is>
          <t>BW-0385</t>
        </is>
      </c>
      <c r="B99" s="23" t="inlineStr">
        <is>
          <t>Flow compensator 8mm</t>
        </is>
      </c>
      <c r="C99" s="23" t="inlineStr">
        <is>
          <t>BAR2 Double</t>
        </is>
      </c>
      <c r="D99" s="23" t="inlineStr">
        <is>
          <t>Blupura</t>
        </is>
      </c>
      <c r="E99" s="23" t="inlineStr">
        <is>
          <t>140194</t>
        </is>
      </c>
      <c r="F99" s="23" t="inlineStr">
        <is>
          <t>760173</t>
        </is>
      </c>
      <c r="G99" s="24" t="n">
        <v>17</v>
      </c>
      <c r="H99" s="24" t="n"/>
      <c r="I99" s="26" t="inlineStr">
        <is>
          <t>Chiffrable via tarif 2024</t>
        </is>
      </c>
    </row>
    <row r="100">
      <c r="A100" s="4" t="inlineStr">
        <is>
          <t>BW-0386</t>
        </is>
      </c>
      <c r="B100" s="23" t="inlineStr">
        <is>
          <t>BAR2 – Rear casing</t>
        </is>
      </c>
      <c r="C100" s="23" t="inlineStr">
        <is>
          <t>BAR2 Double; BAR2 Touchless</t>
        </is>
      </c>
      <c r="D100" s="23" t="inlineStr">
        <is>
          <t>Blupura</t>
        </is>
      </c>
      <c r="E100" s="23" t="inlineStr">
        <is>
          <t>110974</t>
        </is>
      </c>
      <c r="F100" s="23" t="inlineStr">
        <is>
          <t>—</t>
        </is>
      </c>
      <c r="G100" s="24" t="n"/>
      <c r="H100" s="24" t="n"/>
      <c r="I100" s="25" t="inlineStr">
        <is>
          <t>Prix à demander (AS*)</t>
        </is>
      </c>
    </row>
    <row r="101">
      <c r="A101" s="4" t="inlineStr">
        <is>
          <t>BW-0387</t>
        </is>
      </c>
      <c r="B101" s="23" t="inlineStr">
        <is>
          <t>BAR2 -  LED feeder</t>
        </is>
      </c>
      <c r="C101" s="23" t="inlineStr">
        <is>
          <t>BAR2 Double; BAR2 Touchless</t>
        </is>
      </c>
      <c r="D101" s="23" t="inlineStr">
        <is>
          <t>Blupura</t>
        </is>
      </c>
      <c r="E101" s="23" t="inlineStr">
        <is>
          <t>810134</t>
        </is>
      </c>
      <c r="F101" s="23" t="inlineStr">
        <is>
          <t>—</t>
        </is>
      </c>
      <c r="G101" s="24" t="n"/>
      <c r="H101" s="24" t="n"/>
      <c r="I101" s="25" t="inlineStr">
        <is>
          <t>Prix à demander (AS*)</t>
        </is>
      </c>
    </row>
    <row r="102">
      <c r="A102" s="4" t="inlineStr">
        <is>
          <t>BW-0388</t>
        </is>
      </c>
      <c r="B102" s="23" t="inlineStr">
        <is>
          <t>BAR2 – Die-cut evilene protection</t>
        </is>
      </c>
      <c r="C102" s="23" t="inlineStr">
        <is>
          <t>BAR2 Double</t>
        </is>
      </c>
      <c r="D102" s="23" t="inlineStr">
        <is>
          <t>Blupura</t>
        </is>
      </c>
      <c r="E102" s="23" t="inlineStr">
        <is>
          <t>160674</t>
        </is>
      </c>
      <c r="F102" s="23" t="inlineStr">
        <is>
          <t>—</t>
        </is>
      </c>
      <c r="G102" s="24" t="n"/>
      <c r="H102" s="24" t="n"/>
      <c r="I102" s="25" t="inlineStr">
        <is>
          <t>Prix à demander (AS*)</t>
        </is>
      </c>
    </row>
    <row r="103">
      <c r="A103" s="4" t="inlineStr">
        <is>
          <t>BW-0389</t>
        </is>
      </c>
      <c r="B103" s="23" t="inlineStr">
        <is>
          <t>BAR2 – UV LED control board</t>
        </is>
      </c>
      <c r="C103" s="23" t="inlineStr">
        <is>
          <t>BAR2 Double</t>
        </is>
      </c>
      <c r="D103" s="23" t="inlineStr">
        <is>
          <t>Blupura</t>
        </is>
      </c>
      <c r="E103" s="23" t="inlineStr">
        <is>
          <t>150708</t>
        </is>
      </c>
      <c r="F103" s="23" t="inlineStr">
        <is>
          <t>760498</t>
        </is>
      </c>
      <c r="G103" s="24" t="n">
        <v>78.2</v>
      </c>
      <c r="H103" s="24" t="n"/>
      <c r="I103" s="26" t="inlineStr">
        <is>
          <t>Chiffrable via tarif 2024</t>
        </is>
      </c>
    </row>
    <row r="104">
      <c r="A104" s="4" t="inlineStr">
        <is>
          <t>BW-0390</t>
        </is>
      </c>
      <c r="B104" s="23" t="inlineStr">
        <is>
          <t>BAR2 – UV board support bracket</t>
        </is>
      </c>
      <c r="C104" s="23" t="inlineStr">
        <is>
          <t>BAR2 Double</t>
        </is>
      </c>
      <c r="D104" s="23" t="inlineStr">
        <is>
          <t>Blupura</t>
        </is>
      </c>
      <c r="E104" s="23" t="inlineStr">
        <is>
          <t>111420</t>
        </is>
      </c>
      <c r="F104" s="23" t="inlineStr">
        <is>
          <t>—</t>
        </is>
      </c>
      <c r="G104" s="24" t="n"/>
      <c r="H104" s="24" t="n"/>
      <c r="I104" s="25" t="inlineStr">
        <is>
          <t>Prix à demander (AS*)</t>
        </is>
      </c>
    </row>
    <row r="105">
      <c r="A105" s="4" t="inlineStr">
        <is>
          <t>BW-0391</t>
        </is>
      </c>
      <c r="B105" s="23" t="inlineStr">
        <is>
          <t>Screwless cable tie</t>
        </is>
      </c>
      <c r="C105" s="23" t="inlineStr">
        <is>
          <t>BOX 150; BAR2 Double; BAR2 Touchless</t>
        </is>
      </c>
      <c r="D105" s="23" t="inlineStr">
        <is>
          <t>Blupura</t>
        </is>
      </c>
      <c r="E105" s="23" t="inlineStr">
        <is>
          <t>150011</t>
        </is>
      </c>
      <c r="F105" s="23" t="inlineStr">
        <is>
          <t>—</t>
        </is>
      </c>
      <c r="G105" s="24" t="n"/>
      <c r="H105" s="24" t="n"/>
      <c r="I105" s="25" t="inlineStr">
        <is>
          <t>Prix à demander (AS*)</t>
        </is>
      </c>
    </row>
    <row r="106">
      <c r="A106" s="4" t="inlineStr">
        <is>
          <t>BW-0396</t>
        </is>
      </c>
      <c r="B106" s="23" t="inlineStr">
        <is>
          <t>BAR2 - Touchfree button</t>
        </is>
      </c>
      <c r="C106" s="23" t="inlineStr">
        <is>
          <t>BAR2 Touchless</t>
        </is>
      </c>
      <c r="D106" s="23" t="inlineStr">
        <is>
          <t>Blupura</t>
        </is>
      </c>
      <c r="E106" s="23" t="inlineStr">
        <is>
          <t>150146</t>
        </is>
      </c>
      <c r="F106" s="23" t="inlineStr">
        <is>
          <t>760044</t>
        </is>
      </c>
      <c r="G106" s="24" t="n">
        <v>13</v>
      </c>
      <c r="H106" s="24" t="n"/>
      <c r="I106" s="26" t="inlineStr">
        <is>
          <t>Chiffrable via tarif 2024</t>
        </is>
      </c>
    </row>
    <row r="107">
      <c r="A107" s="4" t="inlineStr">
        <is>
          <t>BW-0397</t>
        </is>
      </c>
      <c r="B107" s="23" t="inlineStr">
        <is>
          <t>BAR2 - STLL touchfree</t>
        </is>
      </c>
      <c r="C107" s="23" t="inlineStr">
        <is>
          <t>BAR2 Touchless</t>
        </is>
      </c>
      <c r="D107" s="23" t="inlineStr">
        <is>
          <t>Blupura</t>
        </is>
      </c>
      <c r="E107" s="23" t="inlineStr">
        <is>
          <t>810602</t>
        </is>
      </c>
      <c r="F107" s="23" t="inlineStr">
        <is>
          <t>—</t>
        </is>
      </c>
      <c r="G107" s="24" t="n"/>
      <c r="H107" s="24" t="n"/>
      <c r="I107" s="25" t="inlineStr">
        <is>
          <t>Prix à demander (AS*)</t>
        </is>
      </c>
    </row>
    <row r="108">
      <c r="A108" s="4" t="inlineStr">
        <is>
          <t>BW-0398</t>
        </is>
      </c>
      <c r="B108" s="23" t="inlineStr">
        <is>
          <t>BAR2 - SPRK touchfree</t>
        </is>
      </c>
      <c r="C108" s="23" t="inlineStr">
        <is>
          <t>BAR2 Touchless</t>
        </is>
      </c>
      <c r="D108" s="23" t="inlineStr">
        <is>
          <t>Blupura</t>
        </is>
      </c>
      <c r="E108" s="23" t="inlineStr">
        <is>
          <t>810601</t>
        </is>
      </c>
      <c r="F108" s="23" t="inlineStr">
        <is>
          <t>—</t>
        </is>
      </c>
      <c r="G108" s="24" t="n"/>
      <c r="H108" s="24" t="n"/>
      <c r="I108" s="25" t="inlineStr">
        <is>
          <t>Prix à demander (AS*)</t>
        </is>
      </c>
    </row>
    <row r="109">
      <c r="A109" s="4" t="inlineStr">
        <is>
          <t>BW-0399</t>
        </is>
      </c>
      <c r="B109" s="23" t="inlineStr">
        <is>
          <t>BAR2 - Front glass (touchless)</t>
        </is>
      </c>
      <c r="C109" s="23" t="inlineStr">
        <is>
          <t>BAR2 Touchless</t>
        </is>
      </c>
      <c r="D109" s="23" t="inlineStr">
        <is>
          <t>Blupura</t>
        </is>
      </c>
      <c r="E109" s="23" t="inlineStr">
        <is>
          <t>140846</t>
        </is>
      </c>
      <c r="F109" s="23" t="inlineStr">
        <is>
          <t>—</t>
        </is>
      </c>
      <c r="G109" s="24" t="n"/>
      <c r="H109" s="24" t="n"/>
      <c r="I109" s="25" t="inlineStr">
        <is>
          <t>Prix à demander (AS*)</t>
        </is>
      </c>
    </row>
    <row r="110">
      <c r="A110" s="4" t="inlineStr">
        <is>
          <t>BW-0400</t>
        </is>
      </c>
      <c r="B110" s="23" t="inlineStr">
        <is>
          <t>BAR2 - Nut cover nozzle</t>
        </is>
      </c>
      <c r="C110" s="23" t="inlineStr">
        <is>
          <t>BAR2 Touchless</t>
        </is>
      </c>
      <c r="D110" s="23" t="inlineStr">
        <is>
          <t>Blupura</t>
        </is>
      </c>
      <c r="E110" s="23" t="inlineStr">
        <is>
          <t>110274</t>
        </is>
      </c>
      <c r="F110" s="23" t="inlineStr">
        <is>
          <t>—</t>
        </is>
      </c>
      <c r="G110" s="24" t="n"/>
      <c r="H110" s="24" t="n"/>
      <c r="I110" s="25" t="inlineStr">
        <is>
          <t>Prix à demander (AS*)</t>
        </is>
      </c>
    </row>
    <row r="111">
      <c r="A111" s="4" t="inlineStr">
        <is>
          <t>BW-0401</t>
        </is>
      </c>
      <c r="B111" s="23" t="inlineStr">
        <is>
          <t>BAR2 - Rear carter (touchless)</t>
        </is>
      </c>
      <c r="C111" s="23" t="inlineStr">
        <is>
          <t>BAR2 Touchless</t>
        </is>
      </c>
      <c r="D111" s="23" t="inlineStr">
        <is>
          <t>Blupura</t>
        </is>
      </c>
      <c r="E111" s="23" t="inlineStr">
        <is>
          <t>111110</t>
        </is>
      </c>
      <c r="F111" s="23" t="inlineStr">
        <is>
          <t>760683</t>
        </is>
      </c>
      <c r="G111" s="24" t="n">
        <v>39.05</v>
      </c>
      <c r="H111" s="24" t="n"/>
      <c r="I111" s="26" t="inlineStr">
        <is>
          <t>Chiffrable via tarif 2024</t>
        </is>
      </c>
    </row>
    <row r="112">
      <c r="A112" s="4" t="inlineStr">
        <is>
          <t>BW-0402</t>
        </is>
      </c>
      <c r="B112" s="23" t="inlineStr">
        <is>
          <t>BAR2 - Solenoid bracket</t>
        </is>
      </c>
      <c r="C112" s="23" t="inlineStr">
        <is>
          <t>BAR2 Touchless</t>
        </is>
      </c>
      <c r="D112" s="23" t="inlineStr">
        <is>
          <t>Blupura</t>
        </is>
      </c>
      <c r="E112" s="23" t="inlineStr">
        <is>
          <t>111137</t>
        </is>
      </c>
      <c r="F112" s="23" t="inlineStr">
        <is>
          <t>—</t>
        </is>
      </c>
      <c r="G112" s="24" t="n"/>
      <c r="H112" s="24" t="n"/>
      <c r="I112" s="25" t="inlineStr">
        <is>
          <t>Prix à demander (AS*)</t>
        </is>
      </c>
    </row>
    <row r="113">
      <c r="A113" s="4" t="inlineStr">
        <is>
          <t>BW-0403</t>
        </is>
      </c>
      <c r="B113" s="23" t="inlineStr">
        <is>
          <t>BAR2 - Inverter UV</t>
        </is>
      </c>
      <c r="C113" s="23" t="inlineStr">
        <is>
          <t>BAR2 Touchless</t>
        </is>
      </c>
      <c r="D113" s="23" t="inlineStr">
        <is>
          <t>Blupura</t>
        </is>
      </c>
      <c r="E113" s="23" t="inlineStr">
        <is>
          <t>150205</t>
        </is>
      </c>
      <c r="F113" s="23" t="inlineStr">
        <is>
          <t>760061</t>
        </is>
      </c>
      <c r="G113" s="24" t="n">
        <v>42</v>
      </c>
      <c r="H113" s="24" t="n"/>
      <c r="I113" s="26" t="inlineStr">
        <is>
          <t>Chiffrable via tarif 2024</t>
        </is>
      </c>
    </row>
    <row r="114">
      <c r="A114" s="4" t="inlineStr">
        <is>
          <t>BW-0404</t>
        </is>
      </c>
      <c r="B114" s="23" t="inlineStr">
        <is>
          <t>BAR2 - Touchfree button switch</t>
        </is>
      </c>
      <c r="C114" s="23" t="inlineStr">
        <is>
          <t>BAR2 Touchless</t>
        </is>
      </c>
      <c r="D114" s="23" t="inlineStr">
        <is>
          <t>Blupura</t>
        </is>
      </c>
      <c r="E114" s="23" t="inlineStr">
        <is>
          <t>150250</t>
        </is>
      </c>
      <c r="F114" s="23" t="inlineStr">
        <is>
          <t>—</t>
        </is>
      </c>
      <c r="G114" s="24" t="n"/>
      <c r="H114" s="24" t="n"/>
      <c r="I114" s="25" t="inlineStr">
        <is>
          <t>Prix à demander (AS*)</t>
        </is>
      </c>
    </row>
    <row r="115">
      <c r="A115" s="4" t="inlineStr">
        <is>
          <t>BW-0405</t>
        </is>
      </c>
      <c r="B115" s="23" t="inlineStr">
        <is>
          <t>BAR2 - Touchfree sensor</t>
        </is>
      </c>
      <c r="C115" s="23" t="inlineStr">
        <is>
          <t>BAR2 Touchless</t>
        </is>
      </c>
      <c r="D115" s="23" t="inlineStr">
        <is>
          <t>Blupura</t>
        </is>
      </c>
      <c r="E115" s="23" t="inlineStr">
        <is>
          <t>150788</t>
        </is>
      </c>
      <c r="F115" s="23" t="inlineStr">
        <is>
          <t>—</t>
        </is>
      </c>
      <c r="G115" s="24" t="n"/>
      <c r="H115" s="24" t="n"/>
      <c r="I115" s="25" t="inlineStr">
        <is>
          <t>Prix à demander (AS*)</t>
        </is>
      </c>
    </row>
    <row r="116">
      <c r="A116" s="4" t="inlineStr">
        <is>
          <t>BW-0406</t>
        </is>
      </c>
      <c r="B116" s="23" t="inlineStr">
        <is>
          <t>BAR2 - BTG protection</t>
        </is>
      </c>
      <c r="C116" s="23" t="inlineStr">
        <is>
          <t>BAR2 Touchless</t>
        </is>
      </c>
      <c r="D116" s="23" t="inlineStr">
        <is>
          <t>Blupura</t>
        </is>
      </c>
      <c r="E116" s="23" t="inlineStr">
        <is>
          <t>160674</t>
        </is>
      </c>
      <c r="F116" s="23" t="inlineStr">
        <is>
          <t>—</t>
        </is>
      </c>
      <c r="G116" s="24" t="n"/>
      <c r="H116" s="24" t="n"/>
      <c r="I116" s="25" t="inlineStr">
        <is>
          <t>Prix à demander (AS*)</t>
        </is>
      </c>
    </row>
    <row r="117">
      <c r="A117" s="4" t="inlineStr">
        <is>
          <t>BW-0408</t>
        </is>
      </c>
      <c r="B117" s="23" t="inlineStr">
        <is>
          <t>BAR2 - Transformer</t>
        </is>
      </c>
      <c r="C117" s="23" t="inlineStr">
        <is>
          <t>BAR2 Touchless</t>
        </is>
      </c>
      <c r="D117" s="23" t="inlineStr">
        <is>
          <t>Blupura</t>
        </is>
      </c>
      <c r="E117" s="23" t="inlineStr">
        <is>
          <t>150071</t>
        </is>
      </c>
      <c r="F117" s="23" t="inlineStr">
        <is>
          <t>760065</t>
        </is>
      </c>
      <c r="G117" s="24" t="n">
        <v>30.7</v>
      </c>
      <c r="H117" s="24" t="n"/>
      <c r="I117" s="26" t="inlineStr">
        <is>
          <t>Chiffrable via tarif 2024</t>
        </is>
      </c>
    </row>
    <row r="118">
      <c r="A118" s="4" t="inlineStr">
        <is>
          <t>BW-0409</t>
        </is>
      </c>
      <c r="B118" s="23" t="inlineStr">
        <is>
          <t>BAR2 - Inverter 3UV</t>
        </is>
      </c>
      <c r="C118" s="23" t="inlineStr">
        <is>
          <t>BAR2 Touchless</t>
        </is>
      </c>
      <c r="D118" s="23" t="inlineStr">
        <is>
          <t>Blupura</t>
        </is>
      </c>
      <c r="E118" s="23" t="inlineStr">
        <is>
          <t>150204</t>
        </is>
      </c>
      <c r="F118" s="23" t="inlineStr">
        <is>
          <t>760504</t>
        </is>
      </c>
      <c r="G118" s="24" t="n">
        <v>46.65</v>
      </c>
      <c r="H118" s="24" t="n"/>
      <c r="I118" s="26" t="inlineStr">
        <is>
          <t>Chiffrable via tarif 2024</t>
        </is>
      </c>
    </row>
    <row r="119">
      <c r="A119" s="4" t="inlineStr">
        <is>
          <t>BW-0416</t>
        </is>
      </c>
      <c r="B119" s="23" t="inlineStr">
        <is>
          <t>Bracket for Immersion Pump</t>
        </is>
      </c>
      <c r="C119" s="23" t="inlineStr">
        <is>
          <t>BOX 80; BOX 150</t>
        </is>
      </c>
      <c r="D119" s="23" t="inlineStr">
        <is>
          <t>Blupura</t>
        </is>
      </c>
      <c r="E119" s="23" t="inlineStr">
        <is>
          <t>110264</t>
        </is>
      </c>
      <c r="F119" s="23" t="inlineStr">
        <is>
          <t>—</t>
        </is>
      </c>
      <c r="G119" s="24" t="n"/>
      <c r="H119" s="24" t="n"/>
      <c r="I119" s="25" t="inlineStr">
        <is>
          <t>Prix à demander (AS*)</t>
        </is>
      </c>
    </row>
    <row r="120">
      <c r="A120" s="4" t="inlineStr">
        <is>
          <t>BW-0417</t>
        </is>
      </c>
      <c r="B120" s="23" t="inlineStr">
        <is>
          <t>Motor for pump 100L/h</t>
        </is>
      </c>
      <c r="C120" s="23" t="inlineStr">
        <is>
          <t>BOX 80</t>
        </is>
      </c>
      <c r="D120" s="23" t="inlineStr">
        <is>
          <t>Blupura</t>
        </is>
      </c>
      <c r="E120" s="23" t="inlineStr">
        <is>
          <t>130048A</t>
        </is>
      </c>
      <c r="F120" s="23" t="inlineStr">
        <is>
          <t>760062</t>
        </is>
      </c>
      <c r="G120" s="24" t="n">
        <v>86.5</v>
      </c>
      <c r="H120" s="24" t="n"/>
      <c r="I120" s="26" t="inlineStr">
        <is>
          <t>Chiffrable via tarif 2024</t>
        </is>
      </c>
    </row>
    <row r="121">
      <c r="A121" s="4" t="inlineStr">
        <is>
          <t>BW-0418</t>
        </is>
      </c>
      <c r="B121" s="23" t="inlineStr">
        <is>
          <t>Carbonator bracket</t>
        </is>
      </c>
      <c r="C121" s="23" t="inlineStr">
        <is>
          <t>BOX 80; BOX 150</t>
        </is>
      </c>
      <c r="D121" s="23" t="inlineStr">
        <is>
          <t>Blupura</t>
        </is>
      </c>
      <c r="E121" s="23" t="inlineStr">
        <is>
          <t>110103</t>
        </is>
      </c>
      <c r="F121" s="23" t="inlineStr">
        <is>
          <t>—</t>
        </is>
      </c>
      <c r="G121" s="24" t="n"/>
      <c r="H121" s="24" t="n"/>
      <c r="I121" s="25" t="inlineStr">
        <is>
          <t>Prix à demander (AS*)</t>
        </is>
      </c>
    </row>
    <row r="122">
      <c r="A122" s="4" t="inlineStr">
        <is>
          <t>BW-0419</t>
        </is>
      </c>
      <c r="B122" s="23" t="inlineStr">
        <is>
          <t>Cover box 80</t>
        </is>
      </c>
      <c r="C122" s="23" t="inlineStr">
        <is>
          <t>BOX 80</t>
        </is>
      </c>
      <c r="D122" s="23" t="inlineStr">
        <is>
          <t>Blupura</t>
        </is>
      </c>
      <c r="E122" s="23" t="inlineStr">
        <is>
          <t>110138</t>
        </is>
      </c>
      <c r="F122" s="23" t="inlineStr">
        <is>
          <t>760137</t>
        </is>
      </c>
      <c r="G122" s="24" t="n">
        <v>30.1</v>
      </c>
      <c r="H122" s="24" t="n"/>
      <c r="I122" s="26" t="inlineStr">
        <is>
          <t>Chiffrable via tarif 2024</t>
        </is>
      </c>
    </row>
    <row r="123">
      <c r="A123" s="4" t="inlineStr">
        <is>
          <t>BW-0420</t>
        </is>
      </c>
      <c r="B123" s="23" t="inlineStr">
        <is>
          <t>Casing box 80</t>
        </is>
      </c>
      <c r="C123" s="23" t="inlineStr">
        <is>
          <t>BOX 80</t>
        </is>
      </c>
      <c r="D123" s="23" t="inlineStr">
        <is>
          <t>Blupura</t>
        </is>
      </c>
      <c r="E123" s="23" t="inlineStr">
        <is>
          <t>110137</t>
        </is>
      </c>
      <c r="F123" s="23" t="inlineStr">
        <is>
          <t>760138</t>
        </is>
      </c>
      <c r="G123" s="24" t="n">
        <v>102.7</v>
      </c>
      <c r="H123" s="24" t="n"/>
      <c r="I123" s="26" t="inlineStr">
        <is>
          <t>Chiffrable via tarif 2024</t>
        </is>
      </c>
    </row>
    <row r="124">
      <c r="A124" s="4" t="inlineStr">
        <is>
          <t>BW-0421</t>
        </is>
      </c>
      <c r="B124" s="23" t="inlineStr">
        <is>
          <t>Foot pvc</t>
        </is>
      </c>
      <c r="C124" s="23" t="inlineStr">
        <is>
          <t>BOX 80</t>
        </is>
      </c>
      <c r="D124" s="23" t="inlineStr">
        <is>
          <t>Blupura</t>
        </is>
      </c>
      <c r="E124" s="23" t="inlineStr">
        <is>
          <t>140118</t>
        </is>
      </c>
      <c r="F124" s="23" t="inlineStr">
        <is>
          <t>760120</t>
        </is>
      </c>
      <c r="G124" s="24" t="n">
        <v>5</v>
      </c>
      <c r="H124" s="24" t="n"/>
      <c r="I124" s="26" t="inlineStr">
        <is>
          <t>Chiffrable via tarif 2024</t>
        </is>
      </c>
    </row>
    <row r="125">
      <c r="A125" s="4" t="inlineStr">
        <is>
          <t>BW-0422</t>
        </is>
      </c>
      <c r="B125" s="23" t="inlineStr">
        <is>
          <t>Front panel</t>
        </is>
      </c>
      <c r="C125" s="23" t="inlineStr">
        <is>
          <t>BOX 80</t>
        </is>
      </c>
      <c r="D125" s="23" t="inlineStr">
        <is>
          <t>Blupura</t>
        </is>
      </c>
      <c r="E125" s="23" t="inlineStr">
        <is>
          <t>810646</t>
        </is>
      </c>
      <c r="F125" s="23" t="inlineStr">
        <is>
          <t>—</t>
        </is>
      </c>
      <c r="G125" s="24" t="n"/>
      <c r="H125" s="24" t="n"/>
      <c r="I125" s="25" t="inlineStr">
        <is>
          <t>Prix à demander (AS*)</t>
        </is>
      </c>
    </row>
    <row r="126">
      <c r="A126" s="4" t="inlineStr">
        <is>
          <t>BW-0423</t>
        </is>
      </c>
      <c r="B126" s="23" t="inlineStr">
        <is>
          <t>Power cord</t>
        </is>
      </c>
      <c r="C126" s="23" t="inlineStr">
        <is>
          <t>BOX 80</t>
        </is>
      </c>
      <c r="D126" s="23" t="inlineStr">
        <is>
          <t>Blupura</t>
        </is>
      </c>
      <c r="E126" s="23" t="inlineStr">
        <is>
          <t>150087</t>
        </is>
      </c>
      <c r="F126" s="23" t="inlineStr">
        <is>
          <t>760064</t>
        </is>
      </c>
      <c r="G126" s="24" t="n">
        <v>7.3</v>
      </c>
      <c r="H126" s="24" t="n"/>
      <c r="I126" s="26" t="inlineStr">
        <is>
          <t>Chiffrable via tarif 2024</t>
        </is>
      </c>
    </row>
    <row r="127">
      <c r="A127" s="4" t="inlineStr">
        <is>
          <t>BW-0424</t>
        </is>
      </c>
      <c r="B127" s="23" t="inlineStr">
        <is>
          <t>Bulkhead 8 mm</t>
        </is>
      </c>
      <c r="C127" s="23" t="inlineStr">
        <is>
          <t>BOX 80</t>
        </is>
      </c>
      <c r="D127" s="23" t="inlineStr">
        <is>
          <t>Blupura</t>
        </is>
      </c>
      <c r="E127" s="23" t="inlineStr">
        <is>
          <t>140099</t>
        </is>
      </c>
      <c r="F127" s="23" t="inlineStr">
        <is>
          <t>760073</t>
        </is>
      </c>
      <c r="G127" s="24" t="n">
        <v>28</v>
      </c>
      <c r="H127" s="24" t="n"/>
      <c r="I127" s="26" t="inlineStr">
        <is>
          <t>Chiffrable via tarif 2024</t>
        </is>
      </c>
    </row>
    <row r="128">
      <c r="A128" s="4" t="inlineStr">
        <is>
          <t>BW-0425</t>
        </is>
      </c>
      <c r="B128" s="23" t="inlineStr">
        <is>
          <t>Iec socket</t>
        </is>
      </c>
      <c r="C128" s="23" t="inlineStr">
        <is>
          <t>BOX 80</t>
        </is>
      </c>
      <c r="D128" s="23" t="inlineStr">
        <is>
          <t>Blupura</t>
        </is>
      </c>
      <c r="E128" s="23" t="inlineStr">
        <is>
          <t>150094</t>
        </is>
      </c>
      <c r="F128" s="23" t="inlineStr">
        <is>
          <t>760080</t>
        </is>
      </c>
      <c r="G128" s="24" t="n">
        <v>1.65</v>
      </c>
      <c r="H128" s="24" t="n"/>
      <c r="I128" s="26" t="inlineStr">
        <is>
          <t>Chiffrable via tarif 2024</t>
        </is>
      </c>
    </row>
    <row r="129">
      <c r="A129" s="4" t="inlineStr">
        <is>
          <t>BW-0426</t>
        </is>
      </c>
      <c r="B129" s="23" t="inlineStr">
        <is>
          <t>General power switch</t>
        </is>
      </c>
      <c r="C129" s="23" t="inlineStr">
        <is>
          <t>BOX 80</t>
        </is>
      </c>
      <c r="D129" s="23" t="inlineStr">
        <is>
          <t>Blupura</t>
        </is>
      </c>
      <c r="E129" s="23" t="inlineStr">
        <is>
          <t>150072</t>
        </is>
      </c>
      <c r="F129" s="23" t="inlineStr">
        <is>
          <t>760217</t>
        </is>
      </c>
      <c r="G129" s="24" t="n">
        <v>4.1</v>
      </c>
      <c r="H129" s="24" t="n"/>
      <c r="I129" s="26" t="inlineStr">
        <is>
          <t>Chiffrable via tarif 2024</t>
        </is>
      </c>
    </row>
    <row r="130">
      <c r="A130" s="4" t="inlineStr">
        <is>
          <t>BW-0427</t>
        </is>
      </c>
      <c r="B130" s="23" t="inlineStr">
        <is>
          <t>Plastic plug</t>
        </is>
      </c>
      <c r="C130" s="23" t="inlineStr">
        <is>
          <t>BOX 80; BOX 150</t>
        </is>
      </c>
      <c r="D130" s="23" t="inlineStr">
        <is>
          <t>Blupura</t>
        </is>
      </c>
      <c r="E130" s="23" t="inlineStr">
        <is>
          <t>150051</t>
        </is>
      </c>
      <c r="F130" s="23" t="inlineStr">
        <is>
          <t>—</t>
        </is>
      </c>
      <c r="G130" s="24" t="n"/>
      <c r="H130" s="24" t="n"/>
      <c r="I130" s="25" t="inlineStr">
        <is>
          <t>Prix à demander (AS*)</t>
        </is>
      </c>
    </row>
    <row r="131">
      <c r="A131" s="4" t="inlineStr">
        <is>
          <t>BW-0428</t>
        </is>
      </c>
      <c r="B131" s="23" t="inlineStr">
        <is>
          <t>Spring type cable grand</t>
        </is>
      </c>
      <c r="C131" s="23" t="inlineStr">
        <is>
          <t>BOX 80; BOX 150</t>
        </is>
      </c>
      <c r="D131" s="23" t="inlineStr">
        <is>
          <t>Blupura</t>
        </is>
      </c>
      <c r="E131" s="23" t="inlineStr">
        <is>
          <t>150052</t>
        </is>
      </c>
      <c r="F131" s="23" t="inlineStr">
        <is>
          <t>760131</t>
        </is>
      </c>
      <c r="G131" s="24" t="n">
        <v>3.7</v>
      </c>
      <c r="H131" s="24" t="n"/>
      <c r="I131" s="26" t="inlineStr">
        <is>
          <t>Chiffrable via tarif 2024</t>
        </is>
      </c>
    </row>
    <row r="132">
      <c r="A132" s="4" t="inlineStr">
        <is>
          <t>BW-0429</t>
        </is>
      </c>
      <c r="B132" s="23" t="inlineStr">
        <is>
          <t>Ice bank overflow kit</t>
        </is>
      </c>
      <c r="C132" s="23" t="inlineStr">
        <is>
          <t>BOX 80; BOX 150</t>
        </is>
      </c>
      <c r="D132" s="23" t="inlineStr">
        <is>
          <t>Blupura</t>
        </is>
      </c>
      <c r="E132" s="23" t="inlineStr">
        <is>
          <t>750019</t>
        </is>
      </c>
      <c r="F132" s="23" t="inlineStr">
        <is>
          <t>—</t>
        </is>
      </c>
      <c r="G132" s="24" t="n"/>
      <c r="H132" s="24" t="n"/>
      <c r="I132" s="25" t="inlineStr">
        <is>
          <t>Prix à demander (AS*)</t>
        </is>
      </c>
    </row>
    <row r="133">
      <c r="A133" s="4" t="inlineStr">
        <is>
          <t>BW-0430</t>
        </is>
      </c>
      <c r="B133" s="23" t="inlineStr">
        <is>
          <t>BOX 15 - Base</t>
        </is>
      </c>
      <c r="C133" s="23" t="inlineStr">
        <is>
          <t>BOX 15</t>
        </is>
      </c>
      <c r="D133" s="23" t="inlineStr">
        <is>
          <t>Blupura</t>
        </is>
      </c>
      <c r="E133" s="23" t="inlineStr">
        <is>
          <t>140511</t>
        </is>
      </c>
      <c r="F133" s="23" t="inlineStr">
        <is>
          <t>—</t>
        </is>
      </c>
      <c r="G133" s="24" t="n"/>
      <c r="H133" s="24" t="n"/>
      <c r="I133" s="25" t="inlineStr">
        <is>
          <t>Prix à demander (AS*)</t>
        </is>
      </c>
    </row>
    <row r="134">
      <c r="A134" s="4" t="inlineStr">
        <is>
          <t>BW-0431</t>
        </is>
      </c>
      <c r="B134" s="23" t="inlineStr">
        <is>
          <t>BOX 15 - Front paneL</t>
        </is>
      </c>
      <c r="C134" s="23" t="inlineStr">
        <is>
          <t>BOX 15</t>
        </is>
      </c>
      <c r="D134" s="23" t="inlineStr">
        <is>
          <t>Blupura</t>
        </is>
      </c>
      <c r="E134" s="23" t="inlineStr">
        <is>
          <t>810645</t>
        </is>
      </c>
      <c r="F134" s="23" t="inlineStr">
        <is>
          <t>—</t>
        </is>
      </c>
      <c r="G134" s="24" t="n"/>
      <c r="H134" s="24" t="n"/>
      <c r="I134" s="25" t="inlineStr">
        <is>
          <t>Prix à demander (AS*)</t>
        </is>
      </c>
    </row>
    <row r="135">
      <c r="A135" s="4" t="inlineStr">
        <is>
          <t>BW-0432</t>
        </is>
      </c>
      <c r="B135" s="23" t="inlineStr">
        <is>
          <t>Bulkhead 1/4 mm</t>
        </is>
      </c>
      <c r="C135" s="23" t="inlineStr">
        <is>
          <t>BOX 15</t>
        </is>
      </c>
      <c r="D135" s="23" t="inlineStr">
        <is>
          <t>Blupura</t>
        </is>
      </c>
      <c r="E135" s="23" t="inlineStr">
        <is>
          <t>140296</t>
        </is>
      </c>
      <c r="F135" s="23" t="inlineStr">
        <is>
          <t>760108</t>
        </is>
      </c>
      <c r="G135" s="24" t="n">
        <v>33</v>
      </c>
      <c r="H135" s="24" t="n"/>
      <c r="I135" s="26" t="inlineStr">
        <is>
          <t>Chiffrable via tarif 2024</t>
        </is>
      </c>
    </row>
    <row r="136">
      <c r="A136" s="4" t="inlineStr">
        <is>
          <t>BW-0433</t>
        </is>
      </c>
      <c r="B136" s="23" t="inlineStr">
        <is>
          <t>BOX 15 - Bore cap</t>
        </is>
      </c>
      <c r="C136" s="23" t="inlineStr">
        <is>
          <t>BOX 15</t>
        </is>
      </c>
      <c r="D136" s="23" t="inlineStr">
        <is>
          <t>Blupura</t>
        </is>
      </c>
      <c r="E136" s="23" t="inlineStr">
        <is>
          <t>140845</t>
        </is>
      </c>
      <c r="F136" s="23" t="inlineStr">
        <is>
          <t>—</t>
        </is>
      </c>
      <c r="G136" s="24" t="n"/>
      <c r="H136" s="24" t="n"/>
      <c r="I136" s="25" t="inlineStr">
        <is>
          <t>Prix à demander (AS*)</t>
        </is>
      </c>
    </row>
    <row r="137">
      <c r="A137" s="4" t="inlineStr">
        <is>
          <t>BW-0434</t>
        </is>
      </c>
      <c r="B137" s="23" t="inlineStr">
        <is>
          <t>BOX 15 - Main support</t>
        </is>
      </c>
      <c r="C137" s="23" t="inlineStr">
        <is>
          <t>BOX 15</t>
        </is>
      </c>
      <c r="D137" s="23" t="inlineStr">
        <is>
          <t>Blupura</t>
        </is>
      </c>
      <c r="E137" s="23" t="inlineStr">
        <is>
          <t>140512</t>
        </is>
      </c>
      <c r="F137" s="23" t="inlineStr">
        <is>
          <t>—</t>
        </is>
      </c>
      <c r="G137" s="24" t="n"/>
      <c r="H137" s="24" t="n"/>
      <c r="I137" s="25" t="inlineStr">
        <is>
          <t>Prix à demander (AS*)</t>
        </is>
      </c>
    </row>
    <row r="138">
      <c r="A138" s="4" t="inlineStr">
        <is>
          <t>BW-0435</t>
        </is>
      </c>
      <c r="B138" s="23" t="inlineStr">
        <is>
          <t>BOX 15 - Left panel</t>
        </is>
      </c>
      <c r="C138" s="23" t="inlineStr">
        <is>
          <t>BOX 15</t>
        </is>
      </c>
      <c r="D138" s="23" t="inlineStr">
        <is>
          <t>Blupura</t>
        </is>
      </c>
      <c r="E138" s="23" t="inlineStr">
        <is>
          <t>140561</t>
        </is>
      </c>
      <c r="F138" s="23" t="inlineStr">
        <is>
          <t>760219</t>
        </is>
      </c>
      <c r="G138" s="24" t="n">
        <v>25.75</v>
      </c>
      <c r="H138" s="24" t="n"/>
      <c r="I138" s="26" t="inlineStr">
        <is>
          <t>Chiffrable via tarif 2024</t>
        </is>
      </c>
    </row>
    <row r="139">
      <c r="A139" s="4" t="inlineStr">
        <is>
          <t>BW-0436</t>
        </is>
      </c>
      <c r="B139" s="23" t="inlineStr">
        <is>
          <t>BOX 15 - Top cover</t>
        </is>
      </c>
      <c r="C139" s="23" t="inlineStr">
        <is>
          <t>BOX 15</t>
        </is>
      </c>
      <c r="D139" s="23" t="inlineStr">
        <is>
          <t>Blupura</t>
        </is>
      </c>
      <c r="E139" s="23" t="inlineStr">
        <is>
          <t>110954</t>
        </is>
      </c>
      <c r="F139" s="23" t="inlineStr">
        <is>
          <t>760221</t>
        </is>
      </c>
      <c r="G139" s="24" t="n">
        <v>14.85</v>
      </c>
      <c r="H139" s="24" t="n"/>
      <c r="I139" s="26" t="inlineStr">
        <is>
          <t>Chiffrable via tarif 2024</t>
        </is>
      </c>
    </row>
    <row r="140">
      <c r="A140" s="4" t="inlineStr">
        <is>
          <t>BW-0437</t>
        </is>
      </c>
      <c r="B140" s="23" t="inlineStr">
        <is>
          <t>BOX 15 - Tank support</t>
        </is>
      </c>
      <c r="C140" s="23" t="inlineStr">
        <is>
          <t>BOX 15</t>
        </is>
      </c>
      <c r="D140" s="23" t="inlineStr">
        <is>
          <t>Blupura</t>
        </is>
      </c>
      <c r="E140" s="23" t="inlineStr">
        <is>
          <t>140528</t>
        </is>
      </c>
      <c r="F140" s="23" t="inlineStr">
        <is>
          <t>—</t>
        </is>
      </c>
      <c r="G140" s="24" t="n"/>
      <c r="H140" s="24" t="n"/>
      <c r="I140" s="25" t="inlineStr">
        <is>
          <t>Prix à demander (AS*)</t>
        </is>
      </c>
    </row>
    <row r="141">
      <c r="A141" s="4" t="inlineStr">
        <is>
          <t>BW-0438</t>
        </is>
      </c>
      <c r="B141" s="23" t="inlineStr">
        <is>
          <t>BOX 15 - Back panel</t>
        </is>
      </c>
      <c r="C141" s="23" t="inlineStr">
        <is>
          <t>BOX 15</t>
        </is>
      </c>
      <c r="D141" s="23" t="inlineStr">
        <is>
          <t>Blupura</t>
        </is>
      </c>
      <c r="E141" s="23" t="inlineStr">
        <is>
          <t>140521</t>
        </is>
      </c>
      <c r="F141" s="23" t="inlineStr">
        <is>
          <t>—</t>
        </is>
      </c>
      <c r="G141" s="24" t="n"/>
      <c r="H141" s="24" t="n"/>
      <c r="I141" s="25" t="inlineStr">
        <is>
          <t>Prix à demander (AS*)</t>
        </is>
      </c>
    </row>
    <row r="142">
      <c r="A142" s="4" t="inlineStr">
        <is>
          <t>BW-0439</t>
        </is>
      </c>
      <c r="B142" s="23" t="inlineStr">
        <is>
          <t>Power switch</t>
        </is>
      </c>
      <c r="C142" s="23" t="inlineStr">
        <is>
          <t>BOX 150; BOX 15</t>
        </is>
      </c>
      <c r="D142" s="23" t="inlineStr">
        <is>
          <t>Blupura</t>
        </is>
      </c>
      <c r="E142" s="23" t="inlineStr">
        <is>
          <t>150157</t>
        </is>
      </c>
      <c r="F142" s="23" t="inlineStr">
        <is>
          <t>760058</t>
        </is>
      </c>
      <c r="G142" s="24" t="n">
        <v>4.1</v>
      </c>
      <c r="H142" s="24" t="n"/>
      <c r="I142" s="26" t="inlineStr">
        <is>
          <t>Chiffrable via tarif 2024</t>
        </is>
      </c>
    </row>
    <row r="143">
      <c r="A143" s="4" t="inlineStr">
        <is>
          <t>BW-0440</t>
        </is>
      </c>
      <c r="B143" s="23" t="inlineStr">
        <is>
          <t>BOX 15 - Right panel</t>
        </is>
      </c>
      <c r="C143" s="23" t="inlineStr">
        <is>
          <t>BOX 15</t>
        </is>
      </c>
      <c r="D143" s="23" t="inlineStr">
        <is>
          <t>Blupura</t>
        </is>
      </c>
      <c r="E143" s="23" t="inlineStr">
        <is>
          <t>140562</t>
        </is>
      </c>
      <c r="F143" s="23" t="inlineStr">
        <is>
          <t>760220</t>
        </is>
      </c>
      <c r="G143" s="24" t="n">
        <v>25.75</v>
      </c>
      <c r="H143" s="24" t="n"/>
      <c r="I143" s="26" t="inlineStr">
        <is>
          <t>Chiffrable via tarif 2024</t>
        </is>
      </c>
    </row>
    <row r="144">
      <c r="A144" s="4" t="inlineStr">
        <is>
          <t>BW-0441</t>
        </is>
      </c>
      <c r="B144" s="23" t="inlineStr">
        <is>
          <t>BOX 150 - Thermostat bracket</t>
        </is>
      </c>
      <c r="C144" s="23" t="inlineStr">
        <is>
          <t>BOX 150</t>
        </is>
      </c>
      <c r="D144" s="23" t="inlineStr">
        <is>
          <t>Blupura</t>
        </is>
      </c>
      <c r="E144" s="23" t="inlineStr">
        <is>
          <t>110048</t>
        </is>
      </c>
      <c r="F144" s="23" t="inlineStr">
        <is>
          <t>—</t>
        </is>
      </c>
      <c r="G144" s="24" t="n"/>
      <c r="H144" s="24" t="n"/>
      <c r="I144" s="25" t="inlineStr">
        <is>
          <t>Prix à demander (AS*)</t>
        </is>
      </c>
    </row>
    <row r="145">
      <c r="A145" s="4" t="inlineStr">
        <is>
          <t>BW-0442</t>
        </is>
      </c>
      <c r="B145" s="23" t="inlineStr">
        <is>
          <t>BOX 150 - Small cover</t>
        </is>
      </c>
      <c r="C145" s="23" t="inlineStr">
        <is>
          <t>BOX 150</t>
        </is>
      </c>
      <c r="D145" s="23" t="inlineStr">
        <is>
          <t>Blupura</t>
        </is>
      </c>
      <c r="E145" s="23" t="inlineStr">
        <is>
          <t>110053</t>
        </is>
      </c>
      <c r="F145" s="23" t="inlineStr">
        <is>
          <t>760647</t>
        </is>
      </c>
      <c r="G145" s="24" t="n">
        <v>20.6</v>
      </c>
      <c r="H145" s="24" t="n"/>
      <c r="I145" s="26" t="inlineStr">
        <is>
          <t>Chiffrable via tarif 2024</t>
        </is>
      </c>
    </row>
    <row r="146">
      <c r="A146" s="4" t="inlineStr">
        <is>
          <t>BW-0443</t>
        </is>
      </c>
      <c r="B146" s="23" t="inlineStr">
        <is>
          <t>BOX 150 - Inlet water pressure reducer</t>
        </is>
      </c>
      <c r="C146" s="23" t="inlineStr">
        <is>
          <t>BOX 150</t>
        </is>
      </c>
      <c r="D146" s="23" t="inlineStr">
        <is>
          <t>Blupura</t>
        </is>
      </c>
      <c r="E146" s="23" t="inlineStr">
        <is>
          <t>800042</t>
        </is>
      </c>
      <c r="F146" s="23" t="inlineStr">
        <is>
          <t>—</t>
        </is>
      </c>
      <c r="G146" s="24" t="n"/>
      <c r="H146" s="24" t="n"/>
      <c r="I146" s="25" t="inlineStr">
        <is>
          <t>Prix à demander (AS*)</t>
        </is>
      </c>
    </row>
    <row r="147">
      <c r="A147" s="4" t="inlineStr">
        <is>
          <t>BW-0444</t>
        </is>
      </c>
      <c r="B147" s="23" t="inlineStr">
        <is>
          <t>BOX 150 - Interm plate</t>
        </is>
      </c>
      <c r="C147" s="23" t="inlineStr">
        <is>
          <t>BOX 150</t>
        </is>
      </c>
      <c r="D147" s="23" t="inlineStr">
        <is>
          <t>Blupura</t>
        </is>
      </c>
      <c r="E147" s="23" t="inlineStr">
        <is>
          <t>110040</t>
        </is>
      </c>
      <c r="F147" s="23" t="inlineStr">
        <is>
          <t>—</t>
        </is>
      </c>
      <c r="G147" s="24" t="n"/>
      <c r="H147" s="24" t="n"/>
      <c r="I147" s="25" t="inlineStr">
        <is>
          <t>Prix à demander (AS*)</t>
        </is>
      </c>
    </row>
    <row r="148">
      <c r="A148" s="4" t="inlineStr">
        <is>
          <t>BW-0445</t>
        </is>
      </c>
      <c r="B148" s="23" t="inlineStr">
        <is>
          <t>BOX 150 - Large cover</t>
        </is>
      </c>
      <c r="C148" s="23" t="inlineStr">
        <is>
          <t>BOX 150</t>
        </is>
      </c>
      <c r="D148" s="23" t="inlineStr">
        <is>
          <t>Blupura</t>
        </is>
      </c>
      <c r="E148" s="23" t="inlineStr">
        <is>
          <t>110052</t>
        </is>
      </c>
      <c r="F148" s="23" t="inlineStr">
        <is>
          <t>760652</t>
        </is>
      </c>
      <c r="G148" s="24" t="n">
        <v>35.1</v>
      </c>
      <c r="H148" s="24" t="n"/>
      <c r="I148" s="26" t="inlineStr">
        <is>
          <t>Chiffrable via tarif 2024</t>
        </is>
      </c>
    </row>
    <row r="149">
      <c r="A149" s="4" t="inlineStr">
        <is>
          <t>BW-0446</t>
        </is>
      </c>
      <c r="B149" s="23" t="inlineStr">
        <is>
          <t>BOX 150 - Condenser</t>
        </is>
      </c>
      <c r="C149" s="23" t="inlineStr">
        <is>
          <t>BOX 150</t>
        </is>
      </c>
      <c r="D149" s="23" t="inlineStr">
        <is>
          <t>Blupura</t>
        </is>
      </c>
      <c r="E149" s="23" t="inlineStr">
        <is>
          <t>120014</t>
        </is>
      </c>
      <c r="F149" s="23" t="inlineStr">
        <is>
          <t>760544</t>
        </is>
      </c>
      <c r="G149" s="24" t="n">
        <v>55.5</v>
      </c>
      <c r="H149" s="24" t="n"/>
      <c r="I149" s="26" t="inlineStr">
        <is>
          <t>Chiffrable via tarif 2024</t>
        </is>
      </c>
    </row>
    <row r="150">
      <c r="A150" s="4" t="inlineStr">
        <is>
          <t>BW-0447</t>
        </is>
      </c>
      <c r="B150" s="23" t="inlineStr">
        <is>
          <t>BOX 150 - Rear panel</t>
        </is>
      </c>
      <c r="C150" s="23" t="inlineStr">
        <is>
          <t>BOX 150</t>
        </is>
      </c>
      <c r="D150" s="23" t="inlineStr">
        <is>
          <t>Blupura</t>
        </is>
      </c>
      <c r="E150" s="23" t="inlineStr">
        <is>
          <t>110051</t>
        </is>
      </c>
      <c r="F150" s="23" t="inlineStr">
        <is>
          <t>—</t>
        </is>
      </c>
      <c r="G150" s="24" t="n"/>
      <c r="H150" s="24" t="n"/>
      <c r="I150" s="25" t="inlineStr">
        <is>
          <t>Prix à demander (AS*)</t>
        </is>
      </c>
    </row>
    <row r="151">
      <c r="A151" s="4" t="inlineStr">
        <is>
          <t>BW-0448</t>
        </is>
      </c>
      <c r="B151" s="23" t="inlineStr">
        <is>
          <t>BOX 150 - Condenser support</t>
        </is>
      </c>
      <c r="C151" s="23" t="inlineStr">
        <is>
          <t>BOX 150</t>
        </is>
      </c>
      <c r="D151" s="23" t="inlineStr">
        <is>
          <t>Blupura</t>
        </is>
      </c>
      <c r="E151" s="23" t="inlineStr">
        <is>
          <t>110044</t>
        </is>
      </c>
      <c r="F151" s="23" t="inlineStr">
        <is>
          <t>—</t>
        </is>
      </c>
      <c r="G151" s="24" t="n"/>
      <c r="H151" s="24" t="n"/>
      <c r="I151" s="25" t="inlineStr">
        <is>
          <t>Prix à demander (AS*)</t>
        </is>
      </c>
    </row>
    <row r="152">
      <c r="A152" s="4" t="inlineStr">
        <is>
          <t>BW-0449</t>
        </is>
      </c>
      <c r="B152" s="23" t="inlineStr">
        <is>
          <t>BOX 150 - Compressor</t>
        </is>
      </c>
      <c r="C152" s="23" t="inlineStr">
        <is>
          <t>BOX 150</t>
        </is>
      </c>
      <c r="D152" s="23" t="inlineStr">
        <is>
          <t>Blupura</t>
        </is>
      </c>
      <c r="E152" s="23" t="inlineStr">
        <is>
          <t>120001</t>
        </is>
      </c>
      <c r="F152" s="23" t="inlineStr">
        <is>
          <t>760510</t>
        </is>
      </c>
      <c r="G152" s="24" t="n">
        <v>174.6</v>
      </c>
      <c r="H152" s="24" t="n"/>
      <c r="I152" s="26" t="inlineStr">
        <is>
          <t>Chiffrable via tarif 2024</t>
        </is>
      </c>
    </row>
    <row r="153">
      <c r="A153" s="4" t="inlineStr">
        <is>
          <t>BW-0450</t>
        </is>
      </c>
      <c r="B153" s="23" t="inlineStr">
        <is>
          <t>BOX 150 - Bracket</t>
        </is>
      </c>
      <c r="C153" s="23" t="inlineStr">
        <is>
          <t>BOX 150</t>
        </is>
      </c>
      <c r="D153" s="23" t="inlineStr">
        <is>
          <t>Blupura</t>
        </is>
      </c>
      <c r="E153" s="23" t="inlineStr">
        <is>
          <t>110020</t>
        </is>
      </c>
      <c r="F153" s="23" t="inlineStr">
        <is>
          <t>—</t>
        </is>
      </c>
      <c r="G153" s="24" t="n"/>
      <c r="H153" s="24" t="n"/>
      <c r="I153" s="25" t="inlineStr">
        <is>
          <t>Prix à demander (AS*)</t>
        </is>
      </c>
    </row>
    <row r="154">
      <c r="A154" s="4" t="inlineStr">
        <is>
          <t>BW-0451</t>
        </is>
      </c>
      <c r="B154" s="23" t="inlineStr">
        <is>
          <t>Brass pump 200L/h</t>
        </is>
      </c>
      <c r="C154" s="23" t="inlineStr">
        <is>
          <t>BOX 150</t>
        </is>
      </c>
      <c r="D154" s="23" t="inlineStr">
        <is>
          <t>Blupura</t>
        </is>
      </c>
      <c r="E154" s="23" t="inlineStr">
        <is>
          <t>130006</t>
        </is>
      </c>
      <c r="F154" s="23" t="inlineStr">
        <is>
          <t>760291</t>
        </is>
      </c>
      <c r="G154" s="24" t="n">
        <v>75.59999999999999</v>
      </c>
      <c r="H154" s="24" t="n">
        <v>135</v>
      </c>
      <c r="I154" s="23" t="inlineStr"/>
    </row>
    <row r="155">
      <c r="A155" s="4" t="inlineStr">
        <is>
          <t>BW-0452</t>
        </is>
      </c>
      <c r="B155" s="23" t="inlineStr">
        <is>
          <t>BOX 150 - Bracket for valve</t>
        </is>
      </c>
      <c r="C155" s="23" t="inlineStr">
        <is>
          <t>BOX 150</t>
        </is>
      </c>
      <c r="D155" s="23" t="inlineStr">
        <is>
          <t>Blupura</t>
        </is>
      </c>
      <c r="E155" s="23" t="inlineStr">
        <is>
          <t>110015A</t>
        </is>
      </c>
      <c r="F155" s="23" t="inlineStr">
        <is>
          <t>—</t>
        </is>
      </c>
      <c r="G155" s="24" t="n"/>
      <c r="H155" s="24" t="n"/>
      <c r="I155" s="25" t="inlineStr">
        <is>
          <t>Prix à demander (AS*)</t>
        </is>
      </c>
    </row>
    <row r="156">
      <c r="A156" s="4" t="inlineStr">
        <is>
          <t>BW-0453</t>
        </is>
      </c>
      <c r="B156" s="23" t="inlineStr">
        <is>
          <t>BOX 150 - Carbonator bowl bracket</t>
        </is>
      </c>
      <c r="C156" s="23" t="inlineStr">
        <is>
          <t>BOX 150</t>
        </is>
      </c>
      <c r="D156" s="23" t="inlineStr">
        <is>
          <t>Blupura</t>
        </is>
      </c>
      <c r="E156" s="23" t="inlineStr">
        <is>
          <t>110013</t>
        </is>
      </c>
      <c r="F156" s="23" t="inlineStr">
        <is>
          <t>—</t>
        </is>
      </c>
      <c r="G156" s="24" t="n"/>
      <c r="H156" s="24" t="n"/>
      <c r="I156" s="25" t="inlineStr">
        <is>
          <t>Prix à demander (AS*)</t>
        </is>
      </c>
    </row>
    <row r="157">
      <c r="A157" s="4" t="inlineStr">
        <is>
          <t>BW-0454</t>
        </is>
      </c>
      <c r="B157" s="23" t="inlineStr">
        <is>
          <t>BOX 150 - SS dual coil</t>
        </is>
      </c>
      <c r="C157" s="23" t="inlineStr">
        <is>
          <t>BOX 150</t>
        </is>
      </c>
      <c r="D157" s="23" t="inlineStr">
        <is>
          <t>Blupura</t>
        </is>
      </c>
      <c r="E157" s="23" t="inlineStr">
        <is>
          <t>120032</t>
        </is>
      </c>
      <c r="F157" s="23" t="inlineStr">
        <is>
          <t>—</t>
        </is>
      </c>
      <c r="G157" s="24" t="n"/>
      <c r="H157" s="24" t="n"/>
      <c r="I157" s="25" t="inlineStr">
        <is>
          <t>Prix à demander (AS*)</t>
        </is>
      </c>
    </row>
    <row r="158">
      <c r="A158" s="4" t="inlineStr">
        <is>
          <t>BW-0455</t>
        </is>
      </c>
      <c r="B158" s="23" t="inlineStr">
        <is>
          <t>BOX 150 - Evaporator</t>
        </is>
      </c>
      <c r="C158" s="23" t="inlineStr">
        <is>
          <t>BOX 150</t>
        </is>
      </c>
      <c r="D158" s="23" t="inlineStr">
        <is>
          <t>Blupura</t>
        </is>
      </c>
      <c r="E158" s="23" t="inlineStr">
        <is>
          <t>120033</t>
        </is>
      </c>
      <c r="F158" s="23" t="inlineStr">
        <is>
          <t>—</t>
        </is>
      </c>
      <c r="G158" s="24" t="n"/>
      <c r="H158" s="24" t="n"/>
      <c r="I158" s="25" t="inlineStr">
        <is>
          <t>Prix à demander (AS*)</t>
        </is>
      </c>
    </row>
    <row r="159">
      <c r="A159" s="4" t="inlineStr">
        <is>
          <t>BW-0456</t>
        </is>
      </c>
      <c r="B159" s="23" t="inlineStr">
        <is>
          <t>BOX 150 - Tank cooler</t>
        </is>
      </c>
      <c r="C159" s="23" t="inlineStr">
        <is>
          <t>BOX 150</t>
        </is>
      </c>
      <c r="D159" s="23" t="inlineStr">
        <is>
          <t>Blupura</t>
        </is>
      </c>
      <c r="E159" s="23" t="inlineStr">
        <is>
          <t>140004</t>
        </is>
      </c>
      <c r="F159" s="23" t="inlineStr">
        <is>
          <t>—</t>
        </is>
      </c>
      <c r="G159" s="24" t="n"/>
      <c r="H159" s="24" t="n"/>
      <c r="I159" s="25" t="inlineStr">
        <is>
          <t>Prix à demander (AS*)</t>
        </is>
      </c>
    </row>
    <row r="160">
      <c r="A160" s="4" t="inlineStr">
        <is>
          <t>BW-0457</t>
        </is>
      </c>
      <c r="B160" s="23" t="inlineStr">
        <is>
          <t>EC150 Power cable</t>
        </is>
      </c>
      <c r="C160" s="23" t="inlineStr">
        <is>
          <t>BOX 150</t>
        </is>
      </c>
      <c r="D160" s="23" t="inlineStr">
        <is>
          <t>Blupura</t>
        </is>
      </c>
      <c r="E160" s="23" t="inlineStr">
        <is>
          <t>150082</t>
        </is>
      </c>
      <c r="F160" s="23" t="inlineStr">
        <is>
          <t>760810</t>
        </is>
      </c>
      <c r="G160" s="24" t="n">
        <v>6.7</v>
      </c>
      <c r="H160" s="24" t="n"/>
      <c r="I160" s="26" t="inlineStr">
        <is>
          <t>Chiffrable via tarif 2024</t>
        </is>
      </c>
    </row>
    <row r="161">
      <c r="A161" s="4" t="inlineStr">
        <is>
          <t>BW-0458</t>
        </is>
      </c>
      <c r="B161" s="23" t="inlineStr">
        <is>
          <t>BOX 150 - Base</t>
        </is>
      </c>
      <c r="C161" s="23" t="inlineStr">
        <is>
          <t>BOX 150</t>
        </is>
      </c>
      <c r="D161" s="23" t="inlineStr">
        <is>
          <t>Blupura</t>
        </is>
      </c>
      <c r="E161" s="23" t="inlineStr">
        <is>
          <t>110037</t>
        </is>
      </c>
      <c r="F161" s="23" t="inlineStr">
        <is>
          <t>—</t>
        </is>
      </c>
      <c r="G161" s="24" t="n"/>
      <c r="H161" s="24" t="n"/>
      <c r="I161" s="25" t="inlineStr">
        <is>
          <t>Prix à demander (AS*)</t>
        </is>
      </c>
    </row>
    <row r="162">
      <c r="A162" s="4" t="inlineStr">
        <is>
          <t>BW-0459</t>
        </is>
      </c>
      <c r="B162" s="23" t="inlineStr">
        <is>
          <t>BOX 150 - Inox shell</t>
        </is>
      </c>
      <c r="C162" s="23" t="inlineStr">
        <is>
          <t>BOX 150</t>
        </is>
      </c>
      <c r="D162" s="23" t="inlineStr">
        <is>
          <t>Blupura</t>
        </is>
      </c>
      <c r="E162" s="23" t="inlineStr">
        <is>
          <t>110049</t>
        </is>
      </c>
      <c r="F162" s="23" t="inlineStr">
        <is>
          <t>—</t>
        </is>
      </c>
      <c r="G162" s="24" t="n"/>
      <c r="H162" s="24" t="n"/>
      <c r="I162" s="25" t="inlineStr">
        <is>
          <t>Prix à demander (AS*)</t>
        </is>
      </c>
    </row>
    <row r="163">
      <c r="A163" s="4" t="inlineStr">
        <is>
          <t>BW-0461</t>
        </is>
      </c>
      <c r="B163" s="23" t="inlineStr">
        <is>
          <t>Straight adaptor, 3/8 x 1/4 BSP</t>
        </is>
      </c>
      <c r="C163" s="23" t="inlineStr">
        <is>
          <t>BOX 30 (2021)</t>
        </is>
      </c>
      <c r="D163" s="23" t="inlineStr">
        <is>
          <t>Borg&amp;Overström</t>
        </is>
      </c>
      <c r="E163" s="23" t="inlineStr">
        <is>
          <t>462313</t>
        </is>
      </c>
      <c r="F163" s="23" t="inlineStr">
        <is>
          <t>—</t>
        </is>
      </c>
      <c r="G163" s="24" t="n"/>
      <c r="H163" s="24" t="n"/>
      <c r="I163" s="25" t="inlineStr">
        <is>
          <t>Prix à demander (AS*)</t>
        </is>
      </c>
    </row>
    <row r="164">
      <c r="A164" s="4" t="inlineStr">
        <is>
          <t>BW-0462</t>
        </is>
      </c>
      <c r="B164" s="23" t="inlineStr">
        <is>
          <t>Reducer, 3/8 -5/16</t>
        </is>
      </c>
      <c r="C164" s="23" t="inlineStr">
        <is>
          <t>BOX 30 (2021)</t>
        </is>
      </c>
      <c r="D164" s="23" t="inlineStr">
        <is>
          <t>Borg&amp;Overström</t>
        </is>
      </c>
      <c r="E164" s="23" t="inlineStr">
        <is>
          <t>462374</t>
        </is>
      </c>
      <c r="F164" s="23" t="inlineStr">
        <is>
          <t>—</t>
        </is>
      </c>
      <c r="G164" s="24" t="n"/>
      <c r="H164" s="24" t="n"/>
      <c r="I164" s="25" t="inlineStr">
        <is>
          <t>Prix à demander (AS*)</t>
        </is>
      </c>
    </row>
    <row r="165">
      <c r="A165" s="4" t="inlineStr">
        <is>
          <t>BW-0463</t>
        </is>
      </c>
      <c r="B165" s="23" t="inlineStr">
        <is>
          <t>5/16 LLDPE tube</t>
        </is>
      </c>
      <c r="C165" s="23" t="inlineStr">
        <is>
          <t>BOX 30 (2021)</t>
        </is>
      </c>
      <c r="D165" s="23" t="inlineStr">
        <is>
          <t>Borg&amp;Overström</t>
        </is>
      </c>
      <c r="E165" s="23" t="inlineStr">
        <is>
          <t>462014</t>
        </is>
      </c>
      <c r="F165" s="23" t="inlineStr">
        <is>
          <t>—</t>
        </is>
      </c>
      <c r="G165" s="24" t="n"/>
      <c r="H165" s="24" t="n"/>
      <c r="I165" s="25" t="inlineStr">
        <is>
          <t>Prix à demander (AS*)</t>
        </is>
      </c>
    </row>
    <row r="166">
      <c r="A166" s="4" t="inlineStr">
        <is>
          <t>BW-0464</t>
        </is>
      </c>
      <c r="B166" s="23" t="inlineStr">
        <is>
          <t>1/4  LLDPE tube</t>
        </is>
      </c>
      <c r="C166" s="23" t="inlineStr">
        <is>
          <t>BOX 30 (2021)</t>
        </is>
      </c>
      <c r="D166" s="23" t="inlineStr">
        <is>
          <t>Borg&amp;Overström</t>
        </is>
      </c>
      <c r="E166" s="23" t="inlineStr">
        <is>
          <t>462013</t>
        </is>
      </c>
      <c r="F166" s="23" t="inlineStr">
        <is>
          <t>—</t>
        </is>
      </c>
      <c r="G166" s="24" t="n"/>
      <c r="H166" s="24" t="n"/>
      <c r="I166" s="25" t="inlineStr">
        <is>
          <t>Prix à demander (AS*)</t>
        </is>
      </c>
    </row>
    <row r="167">
      <c r="A167" s="4" t="inlineStr">
        <is>
          <t>BW-0465</t>
        </is>
      </c>
      <c r="B167" s="23" t="inlineStr">
        <is>
          <t>BOX 30 - Can wrap insulation - A</t>
        </is>
      </c>
      <c r="C167" s="23" t="inlineStr">
        <is>
          <t>BOX 30 (2021)</t>
        </is>
      </c>
      <c r="D167" s="23" t="inlineStr">
        <is>
          <t>Borg&amp;Overström</t>
        </is>
      </c>
      <c r="E167" s="23" t="inlineStr">
        <is>
          <t>635512</t>
        </is>
      </c>
      <c r="F167" s="23" t="inlineStr">
        <is>
          <t>—</t>
        </is>
      </c>
      <c r="G167" s="24" t="n"/>
      <c r="H167" s="24" t="n"/>
      <c r="I167" s="25" t="inlineStr">
        <is>
          <t>Prix à demander (AS*)</t>
        </is>
      </c>
    </row>
    <row r="168">
      <c r="A168" s="4" t="inlineStr">
        <is>
          <t>BW-0466</t>
        </is>
      </c>
      <c r="B168" s="23" t="inlineStr">
        <is>
          <t>Single check valve, 1/4</t>
        </is>
      </c>
      <c r="C168" s="23" t="inlineStr">
        <is>
          <t>BOX 30 (2021)</t>
        </is>
      </c>
      <c r="D168" s="23" t="inlineStr">
        <is>
          <t>Borg&amp;Overström</t>
        </is>
      </c>
      <c r="E168" s="23" t="inlineStr">
        <is>
          <t>462668</t>
        </is>
      </c>
      <c r="F168" s="23" t="inlineStr">
        <is>
          <t>—</t>
        </is>
      </c>
      <c r="G168" s="24" t="n"/>
      <c r="H168" s="24" t="n"/>
      <c r="I168" s="25" t="inlineStr">
        <is>
          <t>Prix à demander (AS*)</t>
        </is>
      </c>
    </row>
    <row r="169">
      <c r="A169" s="4" t="inlineStr">
        <is>
          <t>BW-0467</t>
        </is>
      </c>
      <c r="B169" s="23" t="inlineStr">
        <is>
          <t>3/8 LLDPE tube</t>
        </is>
      </c>
      <c r="C169" s="23" t="inlineStr">
        <is>
          <t>BOX 30 (2021)</t>
        </is>
      </c>
      <c r="D169" s="23" t="inlineStr">
        <is>
          <t>Borg&amp;Overström</t>
        </is>
      </c>
      <c r="E169" s="23" t="inlineStr">
        <is>
          <t>462012</t>
        </is>
      </c>
      <c r="F169" s="23" t="inlineStr">
        <is>
          <t>—</t>
        </is>
      </c>
      <c r="G169" s="24" t="n"/>
      <c r="H169" s="24" t="n"/>
      <c r="I169" s="25" t="inlineStr">
        <is>
          <t>Prix à demander (AS*)</t>
        </is>
      </c>
    </row>
    <row r="170">
      <c r="A170" s="4" t="inlineStr">
        <is>
          <t>BW-0468</t>
        </is>
      </c>
      <c r="B170" s="23" t="inlineStr">
        <is>
          <t>Bulkhead connector, 1/4</t>
        </is>
      </c>
      <c r="C170" s="23" t="inlineStr">
        <is>
          <t>BOX 30 (2021)</t>
        </is>
      </c>
      <c r="D170" s="23" t="inlineStr">
        <is>
          <t>Borg&amp;Overström</t>
        </is>
      </c>
      <c r="E170" s="23" t="inlineStr">
        <is>
          <t>462325</t>
        </is>
      </c>
      <c r="F170" s="23" t="inlineStr">
        <is>
          <t>—</t>
        </is>
      </c>
      <c r="G170" s="24" t="n"/>
      <c r="H170" s="24" t="n"/>
      <c r="I170" s="25" t="inlineStr">
        <is>
          <t>Prix à demander (AS*)</t>
        </is>
      </c>
    </row>
    <row r="171">
      <c r="A171" s="4" t="inlineStr">
        <is>
          <t>BW-0469</t>
        </is>
      </c>
      <c r="B171" s="23" t="inlineStr">
        <is>
          <t>BOX 30 - Lid - A</t>
        </is>
      </c>
      <c r="C171" s="23" t="inlineStr">
        <is>
          <t>BOX 30 (2021)</t>
        </is>
      </c>
      <c r="D171" s="23" t="inlineStr">
        <is>
          <t>Borg&amp;Overström</t>
        </is>
      </c>
      <c r="E171" s="23" t="inlineStr">
        <is>
          <t>632032</t>
        </is>
      </c>
      <c r="F171" s="23" t="inlineStr">
        <is>
          <t>—</t>
        </is>
      </c>
      <c r="G171" s="24" t="n"/>
      <c r="H171" s="24" t="n"/>
      <c r="I171" s="25" t="inlineStr">
        <is>
          <t>Prix à demander (AS*)</t>
        </is>
      </c>
    </row>
    <row r="172">
      <c r="A172" s="4" t="inlineStr">
        <is>
          <t>BW-0470</t>
        </is>
      </c>
      <c r="B172" s="23" t="inlineStr">
        <is>
          <t>BOX 30 - Flow control - A</t>
        </is>
      </c>
      <c r="C172" s="23" t="inlineStr">
        <is>
          <t>BOX 30 (2021)</t>
        </is>
      </c>
      <c r="D172" s="23" t="inlineStr">
        <is>
          <t>Borg&amp;Overström</t>
        </is>
      </c>
      <c r="E172" s="23" t="inlineStr">
        <is>
          <t>637325</t>
        </is>
      </c>
      <c r="F172" s="23" t="inlineStr">
        <is>
          <t>—</t>
        </is>
      </c>
      <c r="G172" s="24" t="n"/>
      <c r="H172" s="24" t="n"/>
      <c r="I172" s="25" t="inlineStr">
        <is>
          <t>Prix à demander (AS*)</t>
        </is>
      </c>
    </row>
    <row r="173">
      <c r="A173" s="4" t="inlineStr">
        <is>
          <t>BW-0471</t>
        </is>
      </c>
      <c r="B173" s="23" t="inlineStr">
        <is>
          <t>Stem adaptator, 3/8 OD x 1/4 BSP</t>
        </is>
      </c>
      <c r="C173" s="23" t="inlineStr">
        <is>
          <t>BOX 30 (2021)</t>
        </is>
      </c>
      <c r="D173" s="23" t="inlineStr">
        <is>
          <t>Borg&amp;Overström</t>
        </is>
      </c>
      <c r="E173" s="23" t="inlineStr">
        <is>
          <t>462364</t>
        </is>
      </c>
      <c r="F173" s="23" t="inlineStr">
        <is>
          <t>—</t>
        </is>
      </c>
      <c r="G173" s="24" t="n"/>
      <c r="H173" s="24" t="n"/>
      <c r="I173" s="25" t="inlineStr">
        <is>
          <t>Prix à demander (AS*)</t>
        </is>
      </c>
    </row>
    <row r="174">
      <c r="A174" s="4" t="inlineStr">
        <is>
          <t>BW-0472</t>
        </is>
      </c>
      <c r="B174" s="23" t="inlineStr">
        <is>
          <t>Equal Tee, 1/4</t>
        </is>
      </c>
      <c r="C174" s="23" t="inlineStr">
        <is>
          <t>BOX 30 (2021)</t>
        </is>
      </c>
      <c r="D174" s="23" t="inlineStr">
        <is>
          <t>Borg&amp;Overström</t>
        </is>
      </c>
      <c r="E174" s="23" t="inlineStr">
        <is>
          <t>462318</t>
        </is>
      </c>
      <c r="F174" s="23" t="inlineStr">
        <is>
          <t>—</t>
        </is>
      </c>
      <c r="G174" s="24" t="n"/>
      <c r="H174" s="24" t="n"/>
      <c r="I174" s="25" t="inlineStr">
        <is>
          <t>Prix à demander (AS*)</t>
        </is>
      </c>
    </row>
    <row r="175">
      <c r="A175" s="4" t="inlineStr">
        <is>
          <t>BW-0473</t>
        </is>
      </c>
      <c r="B175" s="23" t="inlineStr">
        <is>
          <t>Stem Elbow, 3/8-1/4</t>
        </is>
      </c>
      <c r="C175" s="23" t="inlineStr">
        <is>
          <t>BOX 30 (2021)</t>
        </is>
      </c>
      <c r="D175" s="23" t="inlineStr">
        <is>
          <t>Borg&amp;Overström</t>
        </is>
      </c>
      <c r="E175" s="23" t="inlineStr">
        <is>
          <t>462359</t>
        </is>
      </c>
      <c r="F175" s="23" t="inlineStr">
        <is>
          <t>—</t>
        </is>
      </c>
      <c r="G175" s="24" t="n"/>
      <c r="H175" s="24" t="n"/>
      <c r="I175" s="25" t="inlineStr">
        <is>
          <t>Prix à demander (AS*)</t>
        </is>
      </c>
    </row>
    <row r="176">
      <c r="A176" s="4" t="inlineStr">
        <is>
          <t>BW-0475</t>
        </is>
      </c>
      <c r="B176" s="23" t="inlineStr">
        <is>
          <t>Single check valve, 5/16</t>
        </is>
      </c>
      <c r="C176" s="23" t="inlineStr">
        <is>
          <t>BOX 30 (2021)</t>
        </is>
      </c>
      <c r="D176" s="23" t="inlineStr">
        <is>
          <t>Borg&amp;Overström</t>
        </is>
      </c>
      <c r="E176" s="23" t="inlineStr">
        <is>
          <t>462667</t>
        </is>
      </c>
      <c r="F176" s="23" t="inlineStr">
        <is>
          <t>—</t>
        </is>
      </c>
      <c r="G176" s="24" t="n"/>
      <c r="H176" s="24" t="n"/>
      <c r="I176" s="25" t="inlineStr">
        <is>
          <t>Prix à demander (AS*)</t>
        </is>
      </c>
    </row>
    <row r="177">
      <c r="A177" s="4" t="inlineStr">
        <is>
          <t>BW-0476</t>
        </is>
      </c>
      <c r="B177" s="23" t="inlineStr">
        <is>
          <t>Equal elbow 5/16</t>
        </is>
      </c>
      <c r="C177" s="23" t="inlineStr">
        <is>
          <t>BOX 30 (2021)</t>
        </is>
      </c>
      <c r="D177" s="23" t="inlineStr">
        <is>
          <t>Borg&amp;Overström</t>
        </is>
      </c>
      <c r="E177" s="23" t="inlineStr">
        <is>
          <t>462376</t>
        </is>
      </c>
      <c r="F177" s="23" t="inlineStr">
        <is>
          <t>—</t>
        </is>
      </c>
      <c r="G177" s="24" t="n"/>
      <c r="H177" s="24" t="n"/>
      <c r="I177" s="25" t="inlineStr">
        <is>
          <t>Prix à demander (AS*)</t>
        </is>
      </c>
    </row>
    <row r="178">
      <c r="A178" s="4" t="inlineStr">
        <is>
          <t>BW-0477</t>
        </is>
      </c>
      <c r="B178" s="23" t="inlineStr">
        <is>
          <t>Reducing elbow 3/8 x 1/4</t>
        </is>
      </c>
      <c r="C178" s="23" t="inlineStr">
        <is>
          <t>BOX 30 (2021)</t>
        </is>
      </c>
      <c r="D178" s="23" t="inlineStr">
        <is>
          <t>Borg&amp;Overström</t>
        </is>
      </c>
      <c r="E178" s="23" t="inlineStr">
        <is>
          <t>462327</t>
        </is>
      </c>
      <c r="F178" s="23" t="inlineStr">
        <is>
          <t>—</t>
        </is>
      </c>
      <c r="G178" s="24" t="n"/>
      <c r="H178" s="24" t="n"/>
      <c r="I178" s="25" t="inlineStr">
        <is>
          <t>Prix à demander (AS*)</t>
        </is>
      </c>
    </row>
    <row r="179">
      <c r="A179" s="4" t="inlineStr">
        <is>
          <t>BW-0478</t>
        </is>
      </c>
      <c r="B179" s="23" t="inlineStr">
        <is>
          <t>Equal Elbow 3/8"</t>
        </is>
      </c>
      <c r="C179" s="23" t="inlineStr">
        <is>
          <t>BOX 30 (2021)</t>
        </is>
      </c>
      <c r="D179" s="23" t="inlineStr">
        <is>
          <t>Borg&amp;Overström</t>
        </is>
      </c>
      <c r="E179" s="23" t="inlineStr">
        <is>
          <t>462362</t>
        </is>
      </c>
      <c r="F179" s="23" t="inlineStr">
        <is>
          <t>—</t>
        </is>
      </c>
      <c r="G179" s="24" t="n"/>
      <c r="H179" s="24" t="n"/>
      <c r="I179" s="25" t="inlineStr">
        <is>
          <t>Prix à demander (AS*)</t>
        </is>
      </c>
    </row>
    <row r="180">
      <c r="A180" s="4" t="inlineStr">
        <is>
          <t>BW-0479</t>
        </is>
      </c>
      <c r="B180" s="23" t="inlineStr">
        <is>
          <t>BOX 30 - Swan Neck Faucet Connection Harness -A</t>
        </is>
      </c>
      <c r="C180" s="23" t="inlineStr">
        <is>
          <t>BOX 30 (2021)</t>
        </is>
      </c>
      <c r="D180" s="23" t="inlineStr">
        <is>
          <t>Borg&amp;Overström</t>
        </is>
      </c>
      <c r="E180" s="23" t="inlineStr">
        <is>
          <t>172180</t>
        </is>
      </c>
      <c r="F180" s="23" t="inlineStr">
        <is>
          <t>—</t>
        </is>
      </c>
      <c r="G180" s="24" t="n"/>
      <c r="H180" s="24" t="n"/>
      <c r="I180" s="25" t="inlineStr">
        <is>
          <t>Prix à demander (AS*)</t>
        </is>
      </c>
    </row>
    <row r="181">
      <c r="A181" s="4" t="inlineStr">
        <is>
          <t>BW-0480</t>
        </is>
      </c>
      <c r="B181" s="23" t="inlineStr">
        <is>
          <t>Stem Elbow, 3/8-1/4</t>
        </is>
      </c>
      <c r="C181" s="23" t="inlineStr">
        <is>
          <t>BOX 30 (2021)</t>
        </is>
      </c>
      <c r="D181" s="23" t="inlineStr">
        <is>
          <t>Borg&amp;Overström</t>
        </is>
      </c>
      <c r="E181" s="23" t="inlineStr">
        <is>
          <t>462369</t>
        </is>
      </c>
      <c r="F181" s="23" t="inlineStr">
        <is>
          <t>—</t>
        </is>
      </c>
      <c r="G181" s="24" t="n"/>
      <c r="H181" s="24" t="n"/>
      <c r="I181" s="25" t="inlineStr">
        <is>
          <t>Prix à demander (AS*)</t>
        </is>
      </c>
    </row>
    <row r="182">
      <c r="A182" s="4" t="inlineStr">
        <is>
          <t>BW-0481</t>
        </is>
      </c>
      <c r="B182" s="23" t="inlineStr">
        <is>
          <t>Reducing Straight Connector, 5/16-1/4</t>
        </is>
      </c>
      <c r="C182" s="23" t="inlineStr">
        <is>
          <t>BOX 30 (2021)</t>
        </is>
      </c>
      <c r="D182" s="23" t="inlineStr">
        <is>
          <t>Borg&amp;Overström</t>
        </is>
      </c>
      <c r="E182" s="23" t="inlineStr">
        <is>
          <t>462874</t>
        </is>
      </c>
      <c r="F182" s="23" t="inlineStr">
        <is>
          <t>—</t>
        </is>
      </c>
      <c r="G182" s="24" t="n"/>
      <c r="H182" s="24" t="n"/>
      <c r="I182" s="25" t="inlineStr">
        <is>
          <t>Prix à demander (AS*)</t>
        </is>
      </c>
    </row>
    <row r="183">
      <c r="A183" s="4" t="inlineStr">
        <is>
          <t>BW-0482</t>
        </is>
      </c>
      <c r="B183" s="23" t="inlineStr">
        <is>
          <t>Stem elbow, 5/16-5/16</t>
        </is>
      </c>
      <c r="C183" s="23" t="inlineStr">
        <is>
          <t>BOX 30 (2021)</t>
        </is>
      </c>
      <c r="D183" s="23" t="inlineStr">
        <is>
          <t>Borg&amp;Overström</t>
        </is>
      </c>
      <c r="E183" s="23" t="inlineStr">
        <is>
          <t>462384</t>
        </is>
      </c>
      <c r="F183" s="23" t="inlineStr">
        <is>
          <t>—</t>
        </is>
      </c>
      <c r="G183" s="24" t="n"/>
      <c r="H183" s="24" t="n"/>
      <c r="I183" s="25" t="inlineStr">
        <is>
          <t>Prix à demander (AS*)</t>
        </is>
      </c>
    </row>
    <row r="184">
      <c r="A184" s="4" t="inlineStr">
        <is>
          <t>BW-0483</t>
        </is>
      </c>
      <c r="B184" s="23" t="inlineStr">
        <is>
          <t>Stem elbow, 1/4-1/4</t>
        </is>
      </c>
      <c r="C184" s="23" t="inlineStr">
        <is>
          <t>BOX 30 (2021)</t>
        </is>
      </c>
      <c r="D184" s="23" t="inlineStr">
        <is>
          <t>Borg&amp;Overström</t>
        </is>
      </c>
      <c r="E184" s="23" t="inlineStr">
        <is>
          <t>462368</t>
        </is>
      </c>
      <c r="F184" s="23" t="inlineStr">
        <is>
          <t>—</t>
        </is>
      </c>
      <c r="G184" s="24" t="n"/>
      <c r="H184" s="24" t="n"/>
      <c r="I184" s="25" t="inlineStr">
        <is>
          <t>Prix à demander (AS*)</t>
        </is>
      </c>
    </row>
    <row r="185">
      <c r="A185" s="4" t="inlineStr">
        <is>
          <t>BW-0484</t>
        </is>
      </c>
      <c r="B185" s="23" t="inlineStr">
        <is>
          <t>Stem Elbow, 3/8-3/8</t>
        </is>
      </c>
      <c r="C185" s="23" t="inlineStr">
        <is>
          <t>BOX 30 (2021)</t>
        </is>
      </c>
      <c r="D185" s="23" t="inlineStr">
        <is>
          <t>Borg&amp;Overström</t>
        </is>
      </c>
      <c r="E185" s="23" t="inlineStr">
        <is>
          <t>462371</t>
        </is>
      </c>
      <c r="F185" s="23" t="inlineStr">
        <is>
          <t>—</t>
        </is>
      </c>
      <c r="G185" s="24" t="n"/>
      <c r="H185" s="24" t="n"/>
      <c r="I185" s="25" t="inlineStr">
        <is>
          <t>Prix à demander (AS*)</t>
        </is>
      </c>
    </row>
    <row r="186">
      <c r="A186" s="4" t="inlineStr">
        <is>
          <t>BW-0485</t>
        </is>
      </c>
      <c r="B186" s="23" t="inlineStr">
        <is>
          <t>BOX 30 Front wrap - A</t>
        </is>
      </c>
      <c r="C186" s="23" t="inlineStr">
        <is>
          <t>BOX 30 (2021)</t>
        </is>
      </c>
      <c r="D186" s="23" t="inlineStr">
        <is>
          <t>Borg&amp;Overström</t>
        </is>
      </c>
      <c r="E186" s="23" t="inlineStr">
        <is>
          <t>632031</t>
        </is>
      </c>
      <c r="F186" s="23" t="inlineStr">
        <is>
          <t>—</t>
        </is>
      </c>
      <c r="G186" s="24" t="n"/>
      <c r="H186" s="24" t="n"/>
      <c r="I186" s="25" t="inlineStr">
        <is>
          <t>Prix à demander (AS*)</t>
        </is>
      </c>
    </row>
    <row r="187">
      <c r="A187" s="4" t="inlineStr">
        <is>
          <t>BW-0493</t>
        </is>
      </c>
      <c r="B187" s="23" t="inlineStr">
        <is>
          <t>PRO2 - Top cover panel</t>
        </is>
      </c>
      <c r="C187" s="23" t="inlineStr">
        <is>
          <t>PRO2</t>
        </is>
      </c>
      <c r="D187" s="23" t="inlineStr">
        <is>
          <t>Borg&amp;Overström</t>
        </is>
      </c>
      <c r="E187" s="23" t="inlineStr">
        <is>
          <t>123187</t>
        </is>
      </c>
      <c r="F187" s="23" t="inlineStr">
        <is>
          <t>—</t>
        </is>
      </c>
      <c r="G187" s="24" t="n"/>
      <c r="H187" s="24" t="n"/>
      <c r="I187" s="25" t="inlineStr">
        <is>
          <t>Prix à demander (AS*)</t>
        </is>
      </c>
    </row>
    <row r="188">
      <c r="A188" s="4" t="inlineStr">
        <is>
          <t>BW-0494</t>
        </is>
      </c>
      <c r="B188" s="23" t="inlineStr">
        <is>
          <t>PRO2 - Pressure release valve for carbonation tank</t>
        </is>
      </c>
      <c r="C188" s="23" t="inlineStr">
        <is>
          <t>PRO2</t>
        </is>
      </c>
      <c r="D188" s="23" t="inlineStr">
        <is>
          <t>Borg&amp;Overström</t>
        </is>
      </c>
      <c r="E188" s="23" t="inlineStr">
        <is>
          <t>134612</t>
        </is>
      </c>
      <c r="F188" s="23" t="inlineStr">
        <is>
          <t>—</t>
        </is>
      </c>
      <c r="G188" s="24" t="n"/>
      <c r="H188" s="24" t="n"/>
      <c r="I188" s="25" t="inlineStr">
        <is>
          <t>Prix à demander (AS*)</t>
        </is>
      </c>
    </row>
    <row r="189">
      <c r="A189" s="4" t="inlineStr">
        <is>
          <t>BW-0495</t>
        </is>
      </c>
      <c r="B189" s="23" t="inlineStr">
        <is>
          <t>PRO2 - Single check valve</t>
        </is>
      </c>
      <c r="C189" s="23" t="inlineStr">
        <is>
          <t>PRO2</t>
        </is>
      </c>
      <c r="D189" s="23" t="inlineStr">
        <is>
          <t>Borg&amp;Overström</t>
        </is>
      </c>
      <c r="E189" s="23" t="inlineStr">
        <is>
          <t>132445</t>
        </is>
      </c>
      <c r="F189" s="23" t="inlineStr">
        <is>
          <t>—</t>
        </is>
      </c>
      <c r="G189" s="24" t="n"/>
      <c r="H189" s="24" t="n"/>
      <c r="I189" s="25" t="inlineStr">
        <is>
          <t>Prix à demander (AS*)</t>
        </is>
      </c>
    </row>
    <row r="190">
      <c r="A190" s="4" t="inlineStr">
        <is>
          <t>BW-0496</t>
        </is>
      </c>
      <c r="B190" s="23" t="inlineStr">
        <is>
          <t>PRO2 - Grit filter</t>
        </is>
      </c>
      <c r="C190" s="23" t="inlineStr">
        <is>
          <t>PRO2</t>
        </is>
      </c>
      <c r="D190" s="23" t="inlineStr">
        <is>
          <t>Borg&amp;Overström</t>
        </is>
      </c>
      <c r="E190" s="23" t="inlineStr">
        <is>
          <t>194121</t>
        </is>
      </c>
      <c r="F190" s="23" t="inlineStr">
        <is>
          <t>—</t>
        </is>
      </c>
      <c r="G190" s="24" t="n"/>
      <c r="H190" s="24" t="n"/>
      <c r="I190" s="25" t="inlineStr">
        <is>
          <t>Prix à demander (AS*)</t>
        </is>
      </c>
    </row>
    <row r="191">
      <c r="A191" s="4" t="inlineStr">
        <is>
          <t>BW-0497</t>
        </is>
      </c>
      <c r="B191" s="23" t="inlineStr">
        <is>
          <t>PRO2 - 2-port drainage outlet</t>
        </is>
      </c>
      <c r="C191" s="23" t="inlineStr">
        <is>
          <t>PRO2</t>
        </is>
      </c>
      <c r="D191" s="23" t="inlineStr">
        <is>
          <t>Borg&amp;Overström</t>
        </is>
      </c>
      <c r="E191" s="23" t="inlineStr">
        <is>
          <t>131426</t>
        </is>
      </c>
      <c r="F191" s="23" t="inlineStr">
        <is>
          <t>—</t>
        </is>
      </c>
      <c r="G191" s="24" t="n"/>
      <c r="H191" s="24" t="n"/>
      <c r="I191" s="25" t="inlineStr">
        <is>
          <t>Prix à demander (AS*)</t>
        </is>
      </c>
    </row>
    <row r="192">
      <c r="A192" s="4" t="inlineStr">
        <is>
          <t>BW-0498</t>
        </is>
      </c>
      <c r="B192" s="23" t="inlineStr">
        <is>
          <t>PRO2 - Electric rocker switch</t>
        </is>
      </c>
      <c r="C192" s="23" t="inlineStr">
        <is>
          <t>PRO2</t>
        </is>
      </c>
      <c r="D192" s="23" t="inlineStr">
        <is>
          <t>Borg&amp;Overström</t>
        </is>
      </c>
      <c r="E192" s="23" t="inlineStr">
        <is>
          <t>174321</t>
        </is>
      </c>
      <c r="F192" s="23" t="inlineStr">
        <is>
          <t>—</t>
        </is>
      </c>
      <c r="G192" s="24" t="n"/>
      <c r="H192" s="24" t="n"/>
      <c r="I192" s="25" t="inlineStr">
        <is>
          <t>Prix à demander (AS*)</t>
        </is>
      </c>
    </row>
    <row r="193">
      <c r="A193" s="4" t="inlineStr">
        <is>
          <t>BW-0499</t>
        </is>
      </c>
      <c r="B193" s="23" t="inlineStr">
        <is>
          <t>PRO2 - IEC Fused socket</t>
        </is>
      </c>
      <c r="C193" s="23" t="inlineStr">
        <is>
          <t>PRO2</t>
        </is>
      </c>
      <c r="D193" s="23" t="inlineStr">
        <is>
          <t>Borg&amp;Overström</t>
        </is>
      </c>
      <c r="E193" s="23" t="inlineStr">
        <is>
          <t>172163</t>
        </is>
      </c>
      <c r="F193" s="23" t="inlineStr">
        <is>
          <t>—</t>
        </is>
      </c>
      <c r="G193" s="24" t="n"/>
      <c r="H193" s="24" t="n"/>
      <c r="I193" s="25" t="inlineStr">
        <is>
          <t>Prix à demander (AS*)</t>
        </is>
      </c>
    </row>
    <row r="194">
      <c r="A194" s="4" t="inlineStr">
        <is>
          <t>BW-0500</t>
        </is>
      </c>
      <c r="B194" s="23" t="inlineStr">
        <is>
          <t>PRO2 - Pump 35L/h 24VDC</t>
        </is>
      </c>
      <c r="C194" s="23" t="inlineStr">
        <is>
          <t>PRO2</t>
        </is>
      </c>
      <c r="D194" s="23" t="inlineStr">
        <is>
          <t>Borg&amp;Overström</t>
        </is>
      </c>
      <c r="E194" s="23" t="inlineStr">
        <is>
          <t>174372</t>
        </is>
      </c>
      <c r="F194" s="23" t="inlineStr">
        <is>
          <t>—</t>
        </is>
      </c>
      <c r="G194" s="24" t="n"/>
      <c r="H194" s="24" t="n">
        <v>280</v>
      </c>
      <c r="I194" s="23" t="inlineStr"/>
    </row>
    <row r="195">
      <c r="A195" s="4" t="inlineStr">
        <is>
          <t>BW-0501</t>
        </is>
      </c>
      <c r="B195" s="23" t="inlineStr">
        <is>
          <t>PRO2 - Left Side Panel inc handle</t>
        </is>
      </c>
      <c r="C195" s="23" t="inlineStr">
        <is>
          <t>PRO2</t>
        </is>
      </c>
      <c r="D195" s="23" t="inlineStr">
        <is>
          <t>Borg&amp;Overström</t>
        </is>
      </c>
      <c r="E195" s="23" t="inlineStr">
        <is>
          <t>121850</t>
        </is>
      </c>
      <c r="F195" s="23" t="inlineStr">
        <is>
          <t>—</t>
        </is>
      </c>
      <c r="G195" s="24" t="n"/>
      <c r="H195" s="24" t="n"/>
      <c r="I195" s="25" t="inlineStr">
        <is>
          <t>Prix à demander (AS*)</t>
        </is>
      </c>
    </row>
    <row r="196">
      <c r="A196" s="4" t="inlineStr">
        <is>
          <t>BW-0502</t>
        </is>
      </c>
      <c r="B196" s="23" t="inlineStr">
        <is>
          <t>PRO2 - Compressor</t>
        </is>
      </c>
      <c r="C196" s="23" t="inlineStr">
        <is>
          <t>PRO2</t>
        </is>
      </c>
      <c r="D196" s="23" t="inlineStr">
        <is>
          <t>Borg&amp;Overström</t>
        </is>
      </c>
      <c r="E196" s="23" t="inlineStr">
        <is>
          <t>174313</t>
        </is>
      </c>
      <c r="F196" s="23" t="inlineStr">
        <is>
          <t>—</t>
        </is>
      </c>
      <c r="G196" s="24" t="n"/>
      <c r="H196" s="24" t="n"/>
      <c r="I196" s="25" t="inlineStr">
        <is>
          <t>Prix à demander (AS*)</t>
        </is>
      </c>
    </row>
    <row r="197">
      <c r="A197" s="4" t="inlineStr">
        <is>
          <t>BW-0503</t>
        </is>
      </c>
      <c r="B197" s="23" t="inlineStr">
        <is>
          <t>PRO2 - Main PCB Case Assembly</t>
        </is>
      </c>
      <c r="C197" s="23" t="inlineStr">
        <is>
          <t>PRO2</t>
        </is>
      </c>
      <c r="D197" s="23" t="inlineStr">
        <is>
          <t>Borg&amp;Overström</t>
        </is>
      </c>
      <c r="E197" s="23" t="inlineStr">
        <is>
          <t>171268</t>
        </is>
      </c>
      <c r="F197" s="23" t="inlineStr">
        <is>
          <t>—</t>
        </is>
      </c>
      <c r="G197" s="24" t="n"/>
      <c r="H197" s="24" t="n"/>
      <c r="I197" s="25" t="inlineStr">
        <is>
          <t>Prix à demander (AS*)</t>
        </is>
      </c>
    </row>
    <row r="198">
      <c r="A198" s="4" t="inlineStr">
        <is>
          <t>BW-0504</t>
        </is>
      </c>
      <c r="B198" s="23" t="inlineStr">
        <is>
          <t>PRO2 - Faucet 4 Outlets</t>
        </is>
      </c>
      <c r="C198" s="23" t="inlineStr">
        <is>
          <t>PRO2</t>
        </is>
      </c>
      <c r="D198" s="23" t="inlineStr">
        <is>
          <t>Borg&amp;Overström</t>
        </is>
      </c>
      <c r="E198" s="23" t="inlineStr">
        <is>
          <t>133514</t>
        </is>
      </c>
      <c r="F198" s="23" t="inlineStr">
        <is>
          <t>—</t>
        </is>
      </c>
      <c r="G198" s="24" t="n"/>
      <c r="H198" s="24" t="n"/>
      <c r="I198" s="25" t="inlineStr">
        <is>
          <t>Prix à demander (AS*)</t>
        </is>
      </c>
    </row>
    <row r="199">
      <c r="A199" s="4" t="inlineStr">
        <is>
          <t>BW-0505</t>
        </is>
      </c>
      <c r="B199" s="23" t="inlineStr">
        <is>
          <t>PRO2 - Faucet Shroud</t>
        </is>
      </c>
      <c r="C199" s="23" t="inlineStr">
        <is>
          <t>PRO2</t>
        </is>
      </c>
      <c r="D199" s="23" t="inlineStr">
        <is>
          <t>Borg&amp;Overström</t>
        </is>
      </c>
      <c r="E199" s="23" t="inlineStr">
        <is>
          <t>183246</t>
        </is>
      </c>
      <c r="F199" s="23" t="inlineStr">
        <is>
          <t>—</t>
        </is>
      </c>
      <c r="G199" s="24" t="n"/>
      <c r="H199" s="24" t="n"/>
      <c r="I199" s="25" t="inlineStr">
        <is>
          <t>Prix à demander (AS*)</t>
        </is>
      </c>
    </row>
    <row r="200">
      <c r="A200" s="4" t="inlineStr">
        <is>
          <t>BW-0506</t>
        </is>
      </c>
      <c r="B200" s="23" t="inlineStr">
        <is>
          <t>PRO2 - Front panel Black</t>
        </is>
      </c>
      <c r="C200" s="23" t="inlineStr">
        <is>
          <t>PRO2</t>
        </is>
      </c>
      <c r="D200" s="23" t="inlineStr">
        <is>
          <t>Borg&amp;Overström</t>
        </is>
      </c>
      <c r="E200" s="23" t="inlineStr">
        <is>
          <t>120802</t>
        </is>
      </c>
      <c r="F200" s="23" t="inlineStr">
        <is>
          <t>—</t>
        </is>
      </c>
      <c r="G200" s="24" t="n"/>
      <c r="H200" s="24" t="n"/>
      <c r="I200" s="25" t="inlineStr">
        <is>
          <t>Prix à demander (AS*)</t>
        </is>
      </c>
    </row>
    <row r="201">
      <c r="A201" s="4" t="inlineStr">
        <is>
          <t>BW-0507</t>
        </is>
      </c>
      <c r="B201" s="23" t="inlineStr">
        <is>
          <t>PRO2 - Drip Tray Set without drainage black</t>
        </is>
      </c>
      <c r="C201" s="23" t="inlineStr">
        <is>
          <t>PRO2</t>
        </is>
      </c>
      <c r="D201" s="23" t="inlineStr">
        <is>
          <t>Borg&amp;Overström</t>
        </is>
      </c>
      <c r="E201" s="23" t="inlineStr">
        <is>
          <t>125840</t>
        </is>
      </c>
      <c r="F201" s="23" t="inlineStr">
        <is>
          <t>—</t>
        </is>
      </c>
      <c r="G201" s="24" t="n"/>
      <c r="H201" s="24" t="n"/>
      <c r="I201" s="25" t="inlineStr">
        <is>
          <t>Prix à demander (AS*)</t>
        </is>
      </c>
    </row>
    <row r="202">
      <c r="A202" s="4" t="inlineStr">
        <is>
          <t>BW-0508</t>
        </is>
      </c>
      <c r="B202" s="23" t="inlineStr">
        <is>
          <t>PRO2 - Touch Icon Illumination Diffuser</t>
        </is>
      </c>
      <c r="C202" s="23" t="inlineStr">
        <is>
          <t>PRO2</t>
        </is>
      </c>
      <c r="D202" s="23" t="inlineStr">
        <is>
          <t>Borg&amp;Overström</t>
        </is>
      </c>
      <c r="E202" s="23" t="inlineStr">
        <is>
          <t>171269</t>
        </is>
      </c>
      <c r="F202" s="23" t="inlineStr">
        <is>
          <t>—</t>
        </is>
      </c>
      <c r="G202" s="24" t="n"/>
      <c r="H202" s="24" t="n"/>
      <c r="I202" s="25" t="inlineStr">
        <is>
          <t>Prix à demander (AS*)</t>
        </is>
      </c>
    </row>
    <row r="203">
      <c r="A203" s="4" t="inlineStr">
        <is>
          <t>BW-0509</t>
        </is>
      </c>
      <c r="B203" s="23" t="inlineStr">
        <is>
          <t>PRO2 - LED PCB Wiring Loom</t>
        </is>
      </c>
      <c r="C203" s="23" t="inlineStr">
        <is>
          <t>PRO2</t>
        </is>
      </c>
      <c r="D203" s="23" t="inlineStr">
        <is>
          <t>Borg&amp;Overström</t>
        </is>
      </c>
      <c r="E203" s="23" t="inlineStr">
        <is>
          <t>172223</t>
        </is>
      </c>
      <c r="F203" s="23" t="inlineStr">
        <is>
          <t>—</t>
        </is>
      </c>
      <c r="G203" s="24" t="n"/>
      <c r="H203" s="24" t="n"/>
      <c r="I203" s="25" t="inlineStr">
        <is>
          <t>Prix à demander (AS*)</t>
        </is>
      </c>
    </row>
    <row r="204">
      <c r="A204" s="4" t="inlineStr">
        <is>
          <t>BW-0510</t>
        </is>
      </c>
      <c r="B204" s="23" t="inlineStr">
        <is>
          <t>PRO2 - Right Side Panel inc handle</t>
        </is>
      </c>
      <c r="C204" s="23" t="inlineStr">
        <is>
          <t>PRO2</t>
        </is>
      </c>
      <c r="D204" s="23" t="inlineStr">
        <is>
          <t>Borg&amp;Overström</t>
        </is>
      </c>
      <c r="E204" s="23" t="inlineStr">
        <is>
          <t>121851</t>
        </is>
      </c>
      <c r="F204" s="23" t="inlineStr">
        <is>
          <t>—</t>
        </is>
      </c>
      <c r="G204" s="24" t="n"/>
      <c r="H204" s="24" t="n"/>
      <c r="I204" s="25" t="inlineStr">
        <is>
          <t>Prix à demander (AS*)</t>
        </is>
      </c>
    </row>
    <row r="205">
      <c r="A205" s="4" t="inlineStr">
        <is>
          <t>BW-0511</t>
        </is>
      </c>
      <c r="B205" s="23" t="inlineStr">
        <is>
          <t>PRO2 - CO2 Single Gauge Regulator with elbow</t>
        </is>
      </c>
      <c r="C205" s="23" t="inlineStr">
        <is>
          <t>PRO2</t>
        </is>
      </c>
      <c r="D205" s="23" t="inlineStr">
        <is>
          <t>Borg&amp;Overström</t>
        </is>
      </c>
      <c r="E205" s="23" t="inlineStr">
        <is>
          <t>193220</t>
        </is>
      </c>
      <c r="F205" s="23" t="inlineStr">
        <is>
          <t>—</t>
        </is>
      </c>
      <c r="G205" s="24" t="n"/>
      <c r="H205" s="24" t="n"/>
      <c r="I205" s="25" t="inlineStr">
        <is>
          <t>Prix à demander (AS*)</t>
        </is>
      </c>
    </row>
    <row r="206">
      <c r="A206" s="4" t="inlineStr">
        <is>
          <t>BW-0635</t>
        </is>
      </c>
      <c r="B206" s="23" t="inlineStr">
        <is>
          <t>AQTiV flow compensator</t>
        </is>
      </c>
      <c r="C206" s="23" t="inlineStr">
        <is>
          <t>AQTiV COMBI; AQTiV ONE</t>
        </is>
      </c>
      <c r="D206" s="23" t="inlineStr">
        <is>
          <t>Superinox</t>
        </is>
      </c>
      <c r="E206" s="23" t="inlineStr">
        <is>
          <t>R040096-030</t>
        </is>
      </c>
      <c r="F206" s="23" t="inlineStr">
        <is>
          <t>—</t>
        </is>
      </c>
      <c r="G206" s="24" t="n"/>
      <c r="H206" s="24" t="n"/>
      <c r="I206" s="25" t="inlineStr">
        <is>
          <t>Prix à demander (AS*)</t>
        </is>
      </c>
    </row>
    <row r="207">
      <c r="A207" s="4" t="inlineStr">
        <is>
          <t>BW-0646</t>
        </is>
      </c>
      <c r="B207" s="23" t="inlineStr">
        <is>
          <t>PRO1 - Refrigeration probe - A</t>
        </is>
      </c>
      <c r="C207" s="23" t="inlineStr">
        <is>
          <t>PRO1; BOX 30 (2021)</t>
        </is>
      </c>
      <c r="D207" s="23" t="inlineStr">
        <is>
          <t>Borg&amp;Overström</t>
        </is>
      </c>
      <c r="E207" s="23" t="inlineStr">
        <is>
          <t>720023</t>
        </is>
      </c>
      <c r="F207" s="23" t="inlineStr">
        <is>
          <t>—</t>
        </is>
      </c>
      <c r="G207" s="24" t="n"/>
      <c r="H207" s="24" t="n">
        <v>43</v>
      </c>
      <c r="I207" s="23" t="inlineStr"/>
    </row>
    <row r="208">
      <c r="A208" s="4" t="inlineStr">
        <is>
          <t>BW-0647</t>
        </is>
      </c>
      <c r="B208" s="23" t="inlineStr">
        <is>
          <t>PRO1 - Level probe - A</t>
        </is>
      </c>
      <c r="C208" s="23" t="inlineStr">
        <is>
          <t>PRO1; BOX 30 (2021)</t>
        </is>
      </c>
      <c r="D208" s="23" t="inlineStr">
        <is>
          <t>Borg&amp;Overström</t>
        </is>
      </c>
      <c r="E208" s="23" t="inlineStr">
        <is>
          <t>637327</t>
        </is>
      </c>
      <c r="F208" s="23" t="inlineStr">
        <is>
          <t>—</t>
        </is>
      </c>
      <c r="G208" s="24" t="n"/>
      <c r="H208" s="24" t="n"/>
      <c r="I208" s="23" t="inlineStr"/>
    </row>
    <row r="209">
      <c r="A209" s="4" t="inlineStr">
        <is>
          <t>BW-0783</t>
        </is>
      </c>
      <c r="B209" s="23" t="inlineStr">
        <is>
          <t>PRO2 - Loom solenoids Rev2</t>
        </is>
      </c>
      <c r="C209" s="23" t="inlineStr">
        <is>
          <t>PRO2</t>
        </is>
      </c>
      <c r="D209" s="23" t="inlineStr">
        <is>
          <t>Borg&amp;Overström</t>
        </is>
      </c>
      <c r="E209" s="23" t="inlineStr">
        <is>
          <t>702539</t>
        </is>
      </c>
      <c r="F209" s="23" t="inlineStr">
        <is>
          <t>—</t>
        </is>
      </c>
      <c r="G209" s="24" t="n"/>
      <c r="H209" s="24" t="n"/>
      <c r="I209" s="25" t="inlineStr">
        <is>
          <t>Prix à demander (AS*)</t>
        </is>
      </c>
    </row>
    <row r="210">
      <c r="A210" s="4" t="inlineStr">
        <is>
          <t>BW-0973</t>
        </is>
      </c>
      <c r="B210" s="23" t="inlineStr">
        <is>
          <t>Gearbox - Handle (x10)</t>
        </is>
      </c>
      <c r="C210" s="23" t="inlineStr">
        <is>
          <t>AQTiV COMBI; AQTiV ONE</t>
        </is>
      </c>
      <c r="D210" s="23" t="inlineStr"/>
      <c r="E210" s="23" t="inlineStr">
        <is>
          <t>P040039 + P036001</t>
        </is>
      </c>
      <c r="F210" s="23" t="inlineStr">
        <is>
          <t>—</t>
        </is>
      </c>
      <c r="G210" s="24" t="n"/>
      <c r="H210" s="24" t="n"/>
      <c r="I210" s="25" t="inlineStr">
        <is>
          <t>Absente de la base 2022</t>
        </is>
      </c>
    </row>
    <row r="211">
      <c r="A211" s="4" t="inlineStr">
        <is>
          <t>BW-0974</t>
        </is>
      </c>
      <c r="B211" s="23" t="inlineStr">
        <is>
          <t>Gearbox - Hat without handle (x5)</t>
        </is>
      </c>
      <c r="C211" s="23" t="inlineStr">
        <is>
          <t>AQTiV COMBI; AQTiV ONE</t>
        </is>
      </c>
      <c r="D211" s="23" t="inlineStr"/>
      <c r="E211" s="23" t="inlineStr">
        <is>
          <t>P040038</t>
        </is>
      </c>
      <c r="F211" s="23" t="inlineStr">
        <is>
          <t>—</t>
        </is>
      </c>
      <c r="G211" s="24" t="n"/>
      <c r="H211" s="24" t="n"/>
      <c r="I211" s="25" t="inlineStr">
        <is>
          <t>Absente de la base 2022</t>
        </is>
      </c>
    </row>
    <row r="212">
      <c r="A212" s="4" t="inlineStr">
        <is>
          <t>BW-0975</t>
        </is>
      </c>
      <c r="B212" s="23" t="inlineStr">
        <is>
          <t>Gearbox - Lever (x10)</t>
        </is>
      </c>
      <c r="C212" s="23" t="inlineStr">
        <is>
          <t>AQTiV COMBI; AQTiV ONE</t>
        </is>
      </c>
      <c r="D212" s="23" t="inlineStr"/>
      <c r="E212" s="23" t="inlineStr">
        <is>
          <t xml:space="preserve"> P040035 + P040040</t>
        </is>
      </c>
      <c r="F212" s="23" t="inlineStr">
        <is>
          <t>—</t>
        </is>
      </c>
      <c r="G212" s="24" t="n"/>
      <c r="H212" s="24" t="n"/>
      <c r="I212" s="25" t="inlineStr">
        <is>
          <t>Absente de la base 2022</t>
        </is>
      </c>
    </row>
    <row r="213">
      <c r="A213" s="4" t="inlineStr">
        <is>
          <t>BW-0987</t>
        </is>
      </c>
      <c r="B213" s="23" t="inlineStr">
        <is>
          <t>Stainless-steel tank</t>
        </is>
      </c>
      <c r="C213" s="23" t="inlineStr">
        <is>
          <t>BOX 20</t>
        </is>
      </c>
      <c r="D213" s="23" t="inlineStr"/>
      <c r="E213" s="23" t="inlineStr"/>
      <c r="F213" s="23" t="inlineStr">
        <is>
          <t>—</t>
        </is>
      </c>
      <c r="G213" s="24" t="n"/>
      <c r="H213" s="24" t="n"/>
      <c r="I213" s="25" t="inlineStr">
        <is>
          <t>Absente de la base 2022</t>
        </is>
      </c>
    </row>
    <row r="214">
      <c r="A214" s="4" t="inlineStr">
        <is>
          <t>BW-0988</t>
        </is>
      </c>
      <c r="B214" s="23" t="inlineStr">
        <is>
          <t>Axial fan 120x120x25</t>
        </is>
      </c>
      <c r="C214" s="23" t="inlineStr">
        <is>
          <t>BOX 20</t>
        </is>
      </c>
      <c r="D214" s="23" t="inlineStr"/>
      <c r="E214" s="23" t="inlineStr"/>
      <c r="F214" s="23" t="inlineStr">
        <is>
          <t>—</t>
        </is>
      </c>
      <c r="G214" s="24" t="n"/>
      <c r="H214" s="24" t="n"/>
      <c r="I214" s="25" t="inlineStr">
        <is>
          <t>Absente de la base 2022</t>
        </is>
      </c>
    </row>
    <row r="215">
      <c r="A215" s="4" t="inlineStr">
        <is>
          <t>BW-0989</t>
        </is>
      </c>
      <c r="B215" s="23" t="inlineStr">
        <is>
          <t>Condenser</t>
        </is>
      </c>
      <c r="C215" s="23" t="inlineStr">
        <is>
          <t>BOX 20</t>
        </is>
      </c>
      <c r="D215" s="23" t="inlineStr"/>
      <c r="E215" s="23" t="inlineStr"/>
      <c r="F215" s="23" t="inlineStr">
        <is>
          <t>—</t>
        </is>
      </c>
      <c r="G215" s="24" t="n"/>
      <c r="H215" s="24" t="n"/>
      <c r="I215" s="25" t="inlineStr">
        <is>
          <t>Absente de la base 2022</t>
        </is>
      </c>
    </row>
    <row r="216">
      <c r="A216" s="4" t="inlineStr">
        <is>
          <t>BW-0990</t>
        </is>
      </c>
      <c r="B216" s="23" t="inlineStr">
        <is>
          <t>Solenoid valve (per schema)</t>
        </is>
      </c>
      <c r="C216" s="23" t="inlineStr">
        <is>
          <t>BOX 20</t>
        </is>
      </c>
      <c r="D216" s="23" t="inlineStr"/>
      <c r="E216" s="23" t="inlineStr"/>
      <c r="F216" s="23" t="inlineStr">
        <is>
          <t>—</t>
        </is>
      </c>
      <c r="G216" s="24" t="n"/>
      <c r="H216" s="24" t="n"/>
      <c r="I216" s="25" t="inlineStr">
        <is>
          <t>Absente de la base 2022</t>
        </is>
      </c>
    </row>
    <row r="217">
      <c r="A217" s="4" t="inlineStr">
        <is>
          <t>BW-0991</t>
        </is>
      </c>
      <c r="B217" s="23" t="inlineStr">
        <is>
          <t>Thermostat Ranco K50 P1127.0</t>
        </is>
      </c>
      <c r="C217" s="23" t="inlineStr">
        <is>
          <t>BOX 20</t>
        </is>
      </c>
      <c r="D217" s="23" t="inlineStr"/>
      <c r="E217" s="23" t="inlineStr"/>
      <c r="F217" s="23" t="inlineStr">
        <is>
          <t>—</t>
        </is>
      </c>
      <c r="G217" s="24" t="n"/>
      <c r="H217" s="24" t="n"/>
      <c r="I217" s="25" t="inlineStr">
        <is>
          <t>Absente de la base 2022</t>
        </is>
      </c>
    </row>
    <row r="218">
      <c r="A218" s="4" t="inlineStr">
        <is>
          <t>BW-0992</t>
        </is>
      </c>
      <c r="B218" s="23" t="inlineStr">
        <is>
          <t>Solenoid-valve bracket</t>
        </is>
      </c>
      <c r="C218" s="23" t="inlineStr">
        <is>
          <t>BOX 20</t>
        </is>
      </c>
      <c r="D218" s="23" t="inlineStr"/>
      <c r="E218" s="23" t="inlineStr"/>
      <c r="F218" s="23" t="inlineStr">
        <is>
          <t>—</t>
        </is>
      </c>
      <c r="G218" s="24" t="n"/>
      <c r="H218" s="24" t="n"/>
      <c r="I218" s="25" t="inlineStr">
        <is>
          <t>Absente de la base 2022</t>
        </is>
      </c>
    </row>
    <row r="219">
      <c r="A219" s="4" t="inlineStr">
        <is>
          <t>BW-0993</t>
        </is>
      </c>
      <c r="B219" s="23" t="inlineStr">
        <is>
          <t>Tank support bracket</t>
        </is>
      </c>
      <c r="C219" s="23" t="inlineStr">
        <is>
          <t>BOX 20</t>
        </is>
      </c>
      <c r="D219" s="23" t="inlineStr"/>
      <c r="E219" s="23" t="inlineStr"/>
      <c r="F219" s="23" t="inlineStr">
        <is>
          <t>—</t>
        </is>
      </c>
      <c r="G219" s="24" t="n"/>
      <c r="H219" s="24" t="n"/>
      <c r="I219" s="25" t="inlineStr">
        <is>
          <t>Absente de la base 2022</t>
        </is>
      </c>
    </row>
    <row r="220">
      <c r="A220" s="4" t="inlineStr">
        <is>
          <t>BW-0994</t>
        </is>
      </c>
      <c r="B220" s="23" t="inlineStr">
        <is>
          <t>Outer casing / cabinet, black</t>
        </is>
      </c>
      <c r="C220" s="23" t="inlineStr">
        <is>
          <t>BOX 20</t>
        </is>
      </c>
      <c r="D220" s="23" t="inlineStr"/>
      <c r="E220" s="23" t="inlineStr"/>
      <c r="F220" s="23" t="inlineStr">
        <is>
          <t>—</t>
        </is>
      </c>
      <c r="G220" s="24" t="n"/>
      <c r="H220" s="24" t="n"/>
      <c r="I220" s="25" t="inlineStr">
        <is>
          <t>Absente de la base 2022</t>
        </is>
      </c>
    </row>
    <row r="221">
      <c r="A221" s="4" t="inlineStr">
        <is>
          <t>BW-0995</t>
        </is>
      </c>
      <c r="B221" s="23" t="inlineStr">
        <is>
          <t>Base frame</t>
        </is>
      </c>
      <c r="C221" s="23" t="inlineStr">
        <is>
          <t>BOX 20</t>
        </is>
      </c>
      <c r="D221" s="23" t="inlineStr"/>
      <c r="E221" s="23" t="inlineStr"/>
      <c r="F221" s="23" t="inlineStr">
        <is>
          <t>—</t>
        </is>
      </c>
      <c r="G221" s="24" t="n"/>
      <c r="H221" s="24" t="n"/>
      <c r="I221" s="25" t="inlineStr">
        <is>
          <t>Absente de la base 2022</t>
        </is>
      </c>
    </row>
    <row r="222">
      <c r="A222" s="4" t="inlineStr">
        <is>
          <t>BW-0996</t>
        </is>
      </c>
      <c r="B222" s="23" t="inlineStr">
        <is>
          <t>Pump bracket</t>
        </is>
      </c>
      <c r="C222" s="23" t="inlineStr">
        <is>
          <t>BOX 20</t>
        </is>
      </c>
      <c r="D222" s="23" t="inlineStr"/>
      <c r="E222" s="23" t="inlineStr"/>
      <c r="F222" s="23" t="inlineStr">
        <is>
          <t>—</t>
        </is>
      </c>
      <c r="G222" s="24" t="n"/>
      <c r="H222" s="24" t="n"/>
      <c r="I222" s="25" t="inlineStr">
        <is>
          <t>Absente de la base 2022</t>
        </is>
      </c>
    </row>
    <row r="223">
      <c r="A223" s="4" t="inlineStr">
        <is>
          <t>BW-0997</t>
        </is>
      </c>
      <c r="B223" s="23" t="inlineStr">
        <is>
          <t>Tank insulation</t>
        </is>
      </c>
      <c r="C223" s="23" t="inlineStr">
        <is>
          <t>BOX 20</t>
        </is>
      </c>
      <c r="D223" s="23" t="inlineStr"/>
      <c r="E223" s="23" t="inlineStr"/>
      <c r="F223" s="23" t="inlineStr">
        <is>
          <t>—</t>
        </is>
      </c>
      <c r="G223" s="24" t="n"/>
      <c r="H223" s="24" t="n"/>
      <c r="I223" s="25" t="inlineStr">
        <is>
          <t>Absente de la base 2022</t>
        </is>
      </c>
    </row>
    <row r="224">
      <c r="A224" s="4" t="inlineStr">
        <is>
          <t>BW-0998</t>
        </is>
      </c>
      <c r="B224" s="23" t="inlineStr">
        <is>
          <t>Compressor LG TS36NATG (R600a)</t>
        </is>
      </c>
      <c r="C224" s="23" t="inlineStr">
        <is>
          <t>BOX 20</t>
        </is>
      </c>
      <c r="D224" s="23" t="inlineStr"/>
      <c r="E224" s="23" t="inlineStr"/>
      <c r="F224" s="23" t="inlineStr">
        <is>
          <t>—</t>
        </is>
      </c>
      <c r="G224" s="24" t="n"/>
      <c r="H224" s="24" t="n"/>
      <c r="I224" s="25" t="inlineStr">
        <is>
          <t>Absente de la base 2022</t>
        </is>
      </c>
    </row>
    <row r="225">
      <c r="A225" s="4" t="inlineStr">
        <is>
          <t>BW-0999</t>
        </is>
      </c>
      <c r="B225" s="23" t="inlineStr">
        <is>
          <t>Carbonator control board + time-out (level I)</t>
        </is>
      </c>
      <c r="C225" s="23" t="inlineStr">
        <is>
          <t>BOX 20; BOX 80 I</t>
        </is>
      </c>
      <c r="D225" s="23" t="inlineStr"/>
      <c r="E225" s="23" t="inlineStr"/>
      <c r="F225" s="23" t="inlineStr">
        <is>
          <t>—</t>
        </is>
      </c>
      <c r="G225" s="24" t="n"/>
      <c r="H225" s="24" t="n"/>
      <c r="I225" s="25" t="inlineStr">
        <is>
          <t>Absente de la base 2022</t>
        </is>
      </c>
    </row>
    <row r="226">
      <c r="A226" s="4" t="inlineStr">
        <is>
          <t>BW-1000</t>
        </is>
      </c>
      <c r="B226" s="23" t="inlineStr">
        <is>
          <t>Primary wiring harness</t>
        </is>
      </c>
      <c r="C226" s="23" t="inlineStr">
        <is>
          <t>BOX 20</t>
        </is>
      </c>
      <c r="D226" s="23" t="inlineStr"/>
      <c r="E226" s="23" t="inlineStr"/>
      <c r="F226" s="23" t="inlineStr">
        <is>
          <t>—</t>
        </is>
      </c>
      <c r="G226" s="24" t="n"/>
      <c r="H226" s="24" t="n"/>
      <c r="I226" s="25" t="inlineStr">
        <is>
          <t>Absente de la base 2022</t>
        </is>
      </c>
    </row>
    <row r="227">
      <c r="A227" s="4" t="inlineStr">
        <is>
          <t>BW-1001</t>
        </is>
      </c>
      <c r="B227" s="23" t="inlineStr">
        <is>
          <t>Front panel</t>
        </is>
      </c>
      <c r="C227" s="23" t="inlineStr">
        <is>
          <t>BOX 20</t>
        </is>
      </c>
      <c r="D227" s="23" t="inlineStr"/>
      <c r="E227" s="23" t="inlineStr"/>
      <c r="F227" s="23" t="inlineStr">
        <is>
          <t>—</t>
        </is>
      </c>
      <c r="G227" s="24" t="n"/>
      <c r="H227" s="24" t="n"/>
      <c r="I227" s="25" t="inlineStr">
        <is>
          <t>Absente de la base 2022</t>
        </is>
      </c>
    </row>
    <row r="228">
      <c r="A228" s="4" t="inlineStr">
        <is>
          <t>BW-1002</t>
        </is>
      </c>
      <c r="B228" s="23" t="inlineStr">
        <is>
          <t>Wiring harness</t>
        </is>
      </c>
      <c r="C228" s="23" t="inlineStr">
        <is>
          <t>BOX 20</t>
        </is>
      </c>
      <c r="D228" s="23" t="inlineStr"/>
      <c r="E228" s="23" t="inlineStr"/>
      <c r="F228" s="23" t="inlineStr">
        <is>
          <t>—</t>
        </is>
      </c>
      <c r="G228" s="24" t="n"/>
      <c r="H228" s="24" t="n"/>
      <c r="I228" s="25" t="inlineStr">
        <is>
          <t>Absente de la base 2022</t>
        </is>
      </c>
    </row>
    <row r="229">
      <c r="A229" s="4" t="inlineStr">
        <is>
          <t>BW-1003</t>
        </is>
      </c>
      <c r="B229" s="23" t="inlineStr">
        <is>
          <t>Booster pump</t>
        </is>
      </c>
      <c r="C229" s="23" t="inlineStr">
        <is>
          <t>BOX 20</t>
        </is>
      </c>
      <c r="D229" s="23" t="inlineStr"/>
      <c r="E229" s="23" t="inlineStr"/>
      <c r="F229" s="23" t="inlineStr">
        <is>
          <t>—</t>
        </is>
      </c>
      <c r="G229" s="24" t="n"/>
      <c r="H229" s="24" t="n"/>
      <c r="I229" s="25" t="inlineStr">
        <is>
          <t>Absente de la base 2022</t>
        </is>
      </c>
    </row>
    <row r="230">
      <c r="A230" s="4" t="inlineStr">
        <is>
          <t>BW-1004</t>
        </is>
      </c>
      <c r="B230" s="23" t="inlineStr">
        <is>
          <t>Expansion compensator, tube Ø8</t>
        </is>
      </c>
      <c r="C230" s="23" t="inlineStr">
        <is>
          <t>BOX 20; BOX 80 I; BOX 120 I</t>
        </is>
      </c>
      <c r="D230" s="23" t="inlineStr"/>
      <c r="E230" s="23" t="inlineStr"/>
      <c r="F230" s="23" t="inlineStr">
        <is>
          <t>—</t>
        </is>
      </c>
      <c r="G230" s="24" t="n"/>
      <c r="H230" s="24" t="n"/>
      <c r="I230" s="25" t="inlineStr">
        <is>
          <t>Absente de la base 2022</t>
        </is>
      </c>
    </row>
    <row r="231">
      <c r="A231" s="4" t="inlineStr">
        <is>
          <t>BW-1005</t>
        </is>
      </c>
      <c r="B231" s="23" t="inlineStr">
        <is>
          <t>Rubber cable grommet</t>
        </is>
      </c>
      <c r="C231" s="23" t="inlineStr">
        <is>
          <t>BOX 20</t>
        </is>
      </c>
      <c r="D231" s="23" t="inlineStr"/>
      <c r="E231" s="23" t="inlineStr"/>
      <c r="F231" s="23" t="inlineStr">
        <is>
          <t>—</t>
        </is>
      </c>
      <c r="G231" s="24" t="n"/>
      <c r="H231" s="24" t="n"/>
      <c r="I231" s="25" t="inlineStr">
        <is>
          <t>Absente de la base 2022</t>
        </is>
      </c>
    </row>
    <row r="232">
      <c r="A232" s="4" t="inlineStr">
        <is>
          <t>BW-1006</t>
        </is>
      </c>
      <c r="B232" s="23" t="inlineStr">
        <is>
          <t>End plug, Ø6 Lokring</t>
        </is>
      </c>
      <c r="C232" s="23" t="inlineStr">
        <is>
          <t>BOX 20</t>
        </is>
      </c>
      <c r="D232" s="23" t="inlineStr"/>
      <c r="E232" s="23" t="inlineStr"/>
      <c r="F232" s="23" t="inlineStr">
        <is>
          <t>—</t>
        </is>
      </c>
      <c r="G232" s="24" t="n"/>
      <c r="H232" s="24" t="n"/>
      <c r="I232" s="25" t="inlineStr">
        <is>
          <t>Absente de la base 2022</t>
        </is>
      </c>
    </row>
    <row r="233">
      <c r="A233" s="4" t="inlineStr">
        <is>
          <t>BW-1007</t>
        </is>
      </c>
      <c r="B233" s="23" t="inlineStr">
        <is>
          <t>Label/sticker kit, chiller-carbonator (2 undercounter +)</t>
        </is>
      </c>
      <c r="C233" s="23" t="inlineStr">
        <is>
          <t>BOX 20</t>
        </is>
      </c>
      <c r="D233" s="23" t="inlineStr"/>
      <c r="E233" s="23" t="inlineStr"/>
      <c r="F233" s="23" t="inlineStr">
        <is>
          <t>—</t>
        </is>
      </c>
      <c r="G233" s="24" t="n"/>
      <c r="H233" s="24" t="n"/>
      <c r="I233" s="25" t="inlineStr">
        <is>
          <t>Absente de la base 2022</t>
        </is>
      </c>
    </row>
    <row r="234">
      <c r="A234" s="4" t="inlineStr">
        <is>
          <t>BW-1008</t>
        </is>
      </c>
      <c r="B234" s="23" t="inlineStr">
        <is>
          <t>Refrigerant gas R600a</t>
        </is>
      </c>
      <c r="C234" s="23" t="inlineStr">
        <is>
          <t>BOX 20</t>
        </is>
      </c>
      <c r="D234" s="23" t="inlineStr"/>
      <c r="E234" s="23" t="inlineStr"/>
      <c r="F234" s="23" t="inlineStr">
        <is>
          <t>—</t>
        </is>
      </c>
      <c r="G234" s="24" t="n"/>
      <c r="H234" s="24" t="n"/>
      <c r="I234" s="25" t="inlineStr">
        <is>
          <t>Absente de la base 2022</t>
        </is>
      </c>
    </row>
    <row r="235">
      <c r="A235" s="4" t="inlineStr">
        <is>
          <t>BW-1009</t>
        </is>
      </c>
      <c r="B235" s="23" t="inlineStr">
        <is>
          <t>Aluminium rivet 4x10</t>
        </is>
      </c>
      <c r="C235" s="23" t="inlineStr">
        <is>
          <t>BOX 20</t>
        </is>
      </c>
      <c r="D235" s="23" t="inlineStr"/>
      <c r="E235" s="23" t="inlineStr"/>
      <c r="F235" s="23" t="inlineStr">
        <is>
          <t>—</t>
        </is>
      </c>
      <c r="G235" s="24" t="n"/>
      <c r="H235" s="24" t="n"/>
      <c r="I235" s="25" t="inlineStr">
        <is>
          <t>Absente de la base 2022</t>
        </is>
      </c>
    </row>
    <row r="236">
      <c r="A236" s="4" t="inlineStr">
        <is>
          <t>BW-1010</t>
        </is>
      </c>
      <c r="B236" s="23" t="inlineStr">
        <is>
          <t>Nylon bag 55+20+20x1</t>
        </is>
      </c>
      <c r="C236" s="23" t="inlineStr">
        <is>
          <t>BOX 20; BOX 80 I; BOX 120 I</t>
        </is>
      </c>
      <c r="D236" s="23" t="inlineStr"/>
      <c r="E236" s="23" t="inlineStr"/>
      <c r="F236" s="23" t="inlineStr">
        <is>
          <t>—</t>
        </is>
      </c>
      <c r="G236" s="24" t="n"/>
      <c r="H236" s="24" t="n"/>
      <c r="I236" s="25" t="inlineStr">
        <is>
          <t>Absente de la base 2022</t>
        </is>
      </c>
    </row>
    <row r="237">
      <c r="A237" s="4" t="inlineStr">
        <is>
          <t>BW-1011</t>
        </is>
      </c>
      <c r="B237" s="23" t="inlineStr">
        <is>
          <t>Packaging - tray</t>
        </is>
      </c>
      <c r="C237" s="23" t="inlineStr">
        <is>
          <t>BOX 20</t>
        </is>
      </c>
      <c r="D237" s="23" t="inlineStr"/>
      <c r="E237" s="23" t="inlineStr"/>
      <c r="F237" s="23" t="inlineStr">
        <is>
          <t>—</t>
        </is>
      </c>
      <c r="G237" s="24" t="n"/>
      <c r="H237" s="24" t="n"/>
      <c r="I237" s="25" t="inlineStr">
        <is>
          <t>Absente de la base 2022</t>
        </is>
      </c>
    </row>
    <row r="238">
      <c r="A238" s="4" t="inlineStr">
        <is>
          <t>BW-1012</t>
        </is>
      </c>
      <c r="B238" s="23" t="inlineStr">
        <is>
          <t>Faston male terminal cover</t>
        </is>
      </c>
      <c r="C238" s="23" t="inlineStr">
        <is>
          <t>BOX 20</t>
        </is>
      </c>
      <c r="D238" s="23" t="inlineStr"/>
      <c r="E238" s="23" t="inlineStr"/>
      <c r="F238" s="23" t="inlineStr">
        <is>
          <t>—</t>
        </is>
      </c>
      <c r="G238" s="24" t="n"/>
      <c r="H238" s="24" t="n"/>
      <c r="I238" s="25" t="inlineStr">
        <is>
          <t>Absente de la base 2022</t>
        </is>
      </c>
    </row>
    <row r="239">
      <c r="A239" s="4" t="inlineStr">
        <is>
          <t>BW-1013</t>
        </is>
      </c>
      <c r="B239" s="23" t="inlineStr">
        <is>
          <t>Faston male terminal</t>
        </is>
      </c>
      <c r="C239" s="23" t="inlineStr">
        <is>
          <t>BOX 20</t>
        </is>
      </c>
      <c r="D239" s="23" t="inlineStr"/>
      <c r="E239" s="23" t="inlineStr"/>
      <c r="F239" s="23" t="inlineStr">
        <is>
          <t>—</t>
        </is>
      </c>
      <c r="G239" s="24" t="n"/>
      <c r="H239" s="24" t="n"/>
      <c r="I239" s="25" t="inlineStr">
        <is>
          <t>Absente de la base 2022</t>
        </is>
      </c>
    </row>
    <row r="240">
      <c r="A240" s="4" t="inlineStr">
        <is>
          <t>BW-1014</t>
        </is>
      </c>
      <c r="B240" s="23" t="inlineStr">
        <is>
          <t>Time-delay fuse 3.15 A</t>
        </is>
      </c>
      <c r="C240" s="23" t="inlineStr">
        <is>
          <t>BOX 20</t>
        </is>
      </c>
      <c r="D240" s="23" t="inlineStr"/>
      <c r="E240" s="23" t="inlineStr"/>
      <c r="F240" s="23" t="inlineStr">
        <is>
          <t>—</t>
        </is>
      </c>
      <c r="G240" s="24" t="n"/>
      <c r="H240" s="24" t="n"/>
      <c r="I240" s="25" t="inlineStr">
        <is>
          <t>Absente de la base 2022</t>
        </is>
      </c>
    </row>
    <row r="241">
      <c r="A241" s="4" t="inlineStr">
        <is>
          <t>BW-1015</t>
        </is>
      </c>
      <c r="B241" s="23" t="inlineStr">
        <is>
          <t>Power inlet socket with fuse</t>
        </is>
      </c>
      <c r="C241" s="23" t="inlineStr">
        <is>
          <t>BOX 20; BOX 80 I; BOX 120 I</t>
        </is>
      </c>
      <c r="D241" s="23" t="inlineStr"/>
      <c r="E241" s="23" t="inlineStr"/>
      <c r="F241" s="23" t="inlineStr">
        <is>
          <t>—</t>
        </is>
      </c>
      <c r="G241" s="24" t="n"/>
      <c r="H241" s="24" t="n"/>
      <c r="I241" s="25" t="inlineStr">
        <is>
          <t>Absente de la base 2022</t>
        </is>
      </c>
    </row>
    <row r="242">
      <c r="A242" s="4" t="inlineStr">
        <is>
          <t>BW-1016</t>
        </is>
      </c>
      <c r="B242" s="23" t="inlineStr">
        <is>
          <t>Power supply cord (unit standard equipment)</t>
        </is>
      </c>
      <c r="C242" s="23" t="inlineStr">
        <is>
          <t>BOX 20; BOX 80 I; BOX 120 I</t>
        </is>
      </c>
      <c r="D242" s="23" t="inlineStr"/>
      <c r="E242" s="23" t="inlineStr"/>
      <c r="F242" s="23" t="inlineStr">
        <is>
          <t>—</t>
        </is>
      </c>
      <c r="G242" s="24" t="n"/>
      <c r="H242" s="24" t="n"/>
      <c r="I242" s="25" t="inlineStr">
        <is>
          <t>Absente de la base 2022</t>
        </is>
      </c>
    </row>
    <row r="243">
      <c r="A243" s="4" t="inlineStr">
        <is>
          <t>BW-1017</t>
        </is>
      </c>
      <c r="B243" s="23" t="inlineStr">
        <is>
          <t>Carbonator sensor/probe cable</t>
        </is>
      </c>
      <c r="C243" s="23" t="inlineStr">
        <is>
          <t>BOX 20</t>
        </is>
      </c>
      <c r="D243" s="23" t="inlineStr"/>
      <c r="E243" s="23" t="inlineStr"/>
      <c r="F243" s="23" t="inlineStr">
        <is>
          <t>—</t>
        </is>
      </c>
      <c r="G243" s="24" t="n"/>
      <c r="H243" s="24" t="n"/>
      <c r="I243" s="25" t="inlineStr">
        <is>
          <t>Absente de la base 2022</t>
        </is>
      </c>
    </row>
    <row r="244">
      <c r="A244" s="4" t="inlineStr">
        <is>
          <t>BW-1018</t>
        </is>
      </c>
      <c r="B244" s="23" t="inlineStr">
        <is>
          <t>Aluminium anti-condensation tape, H75</t>
        </is>
      </c>
      <c r="C244" s="23" t="inlineStr">
        <is>
          <t>BOX 20</t>
        </is>
      </c>
      <c r="D244" s="23" t="inlineStr"/>
      <c r="E244" s="23" t="inlineStr"/>
      <c r="F244" s="23" t="inlineStr">
        <is>
          <t>—</t>
        </is>
      </c>
      <c r="G244" s="24" t="n"/>
      <c r="H244" s="24" t="n"/>
      <c r="I244" s="25" t="inlineStr">
        <is>
          <t>Absente de la base 2022</t>
        </is>
      </c>
    </row>
    <row r="245">
      <c r="A245" s="4" t="inlineStr">
        <is>
          <t>BW-1019</t>
        </is>
      </c>
      <c r="B245" s="23" t="inlineStr">
        <is>
          <t>Anti-vibration pad, compressor</t>
        </is>
      </c>
      <c r="C245" s="23" t="inlineStr">
        <is>
          <t>BOX 20; BOX 80 I; BOX 120 I</t>
        </is>
      </c>
      <c r="D245" s="23" t="inlineStr"/>
      <c r="E245" s="23" t="inlineStr"/>
      <c r="F245" s="23" t="inlineStr">
        <is>
          <t>—</t>
        </is>
      </c>
      <c r="G245" s="24" t="n"/>
      <c r="H245" s="24" t="n"/>
      <c r="I245" s="25" t="inlineStr">
        <is>
          <t>Absente de la base 2022</t>
        </is>
      </c>
    </row>
    <row r="246">
      <c r="A246" s="4" t="inlineStr">
        <is>
          <t>BW-1020</t>
        </is>
      </c>
      <c r="B246" s="23" t="inlineStr">
        <is>
          <t>Foot, black 8mm</t>
        </is>
      </c>
      <c r="C246" s="23" t="inlineStr">
        <is>
          <t>BOX 20</t>
        </is>
      </c>
      <c r="D246" s="23" t="inlineStr"/>
      <c r="E246" s="23" t="inlineStr"/>
      <c r="F246" s="23" t="inlineStr">
        <is>
          <t>—</t>
        </is>
      </c>
      <c r="G246" s="24" t="n"/>
      <c r="H246" s="24" t="n"/>
      <c r="I246" s="25" t="inlineStr">
        <is>
          <t>Absente de la base 2022</t>
        </is>
      </c>
    </row>
    <row r="247">
      <c r="A247" s="4" t="inlineStr">
        <is>
          <t>BW-1021</t>
        </is>
      </c>
      <c r="B247" s="23" t="inlineStr">
        <is>
          <t>Sheet metal 8/10 (0.8mm), black, 1250x2195</t>
        </is>
      </c>
      <c r="C247" s="23" t="inlineStr">
        <is>
          <t>BOX 20</t>
        </is>
      </c>
      <c r="D247" s="23" t="inlineStr"/>
      <c r="E247" s="23" t="inlineStr"/>
      <c r="F247" s="23" t="inlineStr">
        <is>
          <t>—</t>
        </is>
      </c>
      <c r="G247" s="24" t="n"/>
      <c r="H247" s="24" t="n"/>
      <c r="I247" s="25" t="inlineStr">
        <is>
          <t>Absente de la base 2022</t>
        </is>
      </c>
    </row>
    <row r="248">
      <c r="A248" s="4" t="inlineStr">
        <is>
          <t>BW-1022</t>
        </is>
      </c>
      <c r="B248" s="23" t="inlineStr">
        <is>
          <t>Filter drier, complete</t>
        </is>
      </c>
      <c r="C248" s="23" t="inlineStr">
        <is>
          <t>BOX 20</t>
        </is>
      </c>
      <c r="D248" s="23" t="inlineStr"/>
      <c r="E248" s="23" t="inlineStr"/>
      <c r="F248" s="23" t="inlineStr">
        <is>
          <t>—</t>
        </is>
      </c>
      <c r="G248" s="24" t="n"/>
      <c r="H248" s="24" t="n"/>
      <c r="I248" s="25" t="inlineStr">
        <is>
          <t>Absente de la base 2022</t>
        </is>
      </c>
    </row>
    <row r="249">
      <c r="A249" s="4" t="inlineStr">
        <is>
          <t>BW-1023</t>
        </is>
      </c>
      <c r="B249" s="23" t="inlineStr">
        <is>
          <t>Brazed charging valve</t>
        </is>
      </c>
      <c r="C249" s="23" t="inlineStr">
        <is>
          <t>BOX 20; BOX 80 I; BOX 120 I</t>
        </is>
      </c>
      <c r="D249" s="23" t="inlineStr"/>
      <c r="E249" s="23" t="inlineStr"/>
      <c r="F249" s="23" t="inlineStr">
        <is>
          <t>—</t>
        </is>
      </c>
      <c r="G249" s="24" t="n"/>
      <c r="H249" s="24" t="n"/>
      <c r="I249" s="25" t="inlineStr">
        <is>
          <t>Absente de la base 2022</t>
        </is>
      </c>
    </row>
    <row r="250">
      <c r="A250" s="4" t="inlineStr">
        <is>
          <t>BW-1024</t>
        </is>
      </c>
      <c r="B250" s="23" t="inlineStr">
        <is>
          <t>Packaging - cap</t>
        </is>
      </c>
      <c r="C250" s="23" t="inlineStr">
        <is>
          <t>BOX 20</t>
        </is>
      </c>
      <c r="D250" s="23" t="inlineStr"/>
      <c r="E250" s="23" t="inlineStr"/>
      <c r="F250" s="23" t="inlineStr">
        <is>
          <t>—</t>
        </is>
      </c>
      <c r="G250" s="24" t="n"/>
      <c r="H250" s="24" t="n"/>
      <c r="I250" s="25" t="inlineStr">
        <is>
          <t>Absente de la base 2022</t>
        </is>
      </c>
    </row>
    <row r="251">
      <c r="A251" s="4" t="inlineStr">
        <is>
          <t>BW-1025</t>
        </is>
      </c>
      <c r="B251" s="23" t="inlineStr">
        <is>
          <t>Condenser</t>
        </is>
      </c>
      <c r="C251" s="23" t="inlineStr">
        <is>
          <t>BOX 80 I</t>
        </is>
      </c>
      <c r="D251" s="23" t="inlineStr"/>
      <c r="E251" s="23" t="inlineStr"/>
      <c r="F251" s="23" t="inlineStr">
        <is>
          <t>—</t>
        </is>
      </c>
      <c r="G251" s="24" t="n"/>
      <c r="H251" s="24" t="n"/>
      <c r="I251" s="25" t="inlineStr">
        <is>
          <t>Absente de la base 2022</t>
        </is>
      </c>
    </row>
    <row r="252">
      <c r="A252" s="4" t="inlineStr">
        <is>
          <t>BW-1026</t>
        </is>
      </c>
      <c r="B252" s="23" t="inlineStr">
        <is>
          <t>Fan 119x119x38</t>
        </is>
      </c>
      <c r="C252" s="23" t="inlineStr">
        <is>
          <t>BOX 80 I; BOX 120 I</t>
        </is>
      </c>
      <c r="D252" s="23" t="inlineStr"/>
      <c r="E252" s="23" t="inlineStr"/>
      <c r="F252" s="23" t="inlineStr">
        <is>
          <t>—</t>
        </is>
      </c>
      <c r="G252" s="24" t="n"/>
      <c r="H252" s="24" t="n"/>
      <c r="I252" s="25" t="inlineStr">
        <is>
          <t>Absente de la base 2022</t>
        </is>
      </c>
    </row>
    <row r="253">
      <c r="A253" s="4" t="inlineStr">
        <is>
          <t>BW-1027</t>
        </is>
      </c>
      <c r="B253" s="23" t="inlineStr">
        <is>
          <t>Motor Sisme Plus</t>
        </is>
      </c>
      <c r="C253" s="23" t="inlineStr">
        <is>
          <t>BOX 80 I; BOX 120 I</t>
        </is>
      </c>
      <c r="D253" s="23" t="inlineStr"/>
      <c r="E253" s="23" t="inlineStr"/>
      <c r="F253" s="23" t="inlineStr">
        <is>
          <t>—</t>
        </is>
      </c>
      <c r="G253" s="24" t="n"/>
      <c r="H253" s="24" t="n"/>
      <c r="I253" s="25" t="inlineStr">
        <is>
          <t>Absente de la base 2022</t>
        </is>
      </c>
    </row>
    <row r="254">
      <c r="A254" s="4" t="inlineStr">
        <is>
          <t>BW-1028</t>
        </is>
      </c>
      <c r="B254" s="23" t="inlineStr">
        <is>
          <t>Pump 150 L/h</t>
        </is>
      </c>
      <c r="C254" s="23" t="inlineStr">
        <is>
          <t>BOX 80 I</t>
        </is>
      </c>
      <c r="D254" s="23" t="inlineStr"/>
      <c r="E254" s="23" t="inlineStr"/>
      <c r="F254" s="23" t="inlineStr">
        <is>
          <t>—</t>
        </is>
      </c>
      <c r="G254" s="24" t="n"/>
      <c r="H254" s="24" t="n"/>
      <c r="I254" s="25" t="inlineStr">
        <is>
          <t>Absente de la base 2022</t>
        </is>
      </c>
    </row>
    <row r="255">
      <c r="A255" s="4" t="inlineStr">
        <is>
          <t>BW-1029</t>
        </is>
      </c>
      <c r="B255" s="23" t="inlineStr">
        <is>
          <t>Filter drier, complete</t>
        </is>
      </c>
      <c r="C255" s="23" t="inlineStr">
        <is>
          <t>BOX 80 I; BOX 120 I</t>
        </is>
      </c>
      <c r="D255" s="23" t="inlineStr"/>
      <c r="E255" s="23" t="inlineStr"/>
      <c r="F255" s="23" t="inlineStr">
        <is>
          <t>—</t>
        </is>
      </c>
      <c r="G255" s="24" t="n"/>
      <c r="H255" s="24" t="n"/>
      <c r="I255" s="25" t="inlineStr">
        <is>
          <t>Absente de la base 2022</t>
        </is>
      </c>
    </row>
    <row r="256">
      <c r="A256" s="4" t="inlineStr">
        <is>
          <t>BW-1030</t>
        </is>
      </c>
      <c r="B256" s="23" t="inlineStr">
        <is>
          <t>Carbonator</t>
        </is>
      </c>
      <c r="C256" s="23" t="inlineStr">
        <is>
          <t>BOX 80 I</t>
        </is>
      </c>
      <c r="D256" s="23" t="inlineStr"/>
      <c r="E256" s="23" t="inlineStr"/>
      <c r="F256" s="23" t="inlineStr">
        <is>
          <t>—</t>
        </is>
      </c>
      <c r="G256" s="24" t="n"/>
      <c r="H256" s="24" t="n"/>
      <c r="I256" s="25" t="inlineStr">
        <is>
          <t>Absente de la base 2022</t>
        </is>
      </c>
    </row>
    <row r="257">
      <c r="A257" s="4" t="inlineStr">
        <is>
          <t>BW-1031</t>
        </is>
      </c>
      <c r="B257" s="23" t="inlineStr">
        <is>
          <t>Agitator / stirrer MIR B 4L</t>
        </is>
      </c>
      <c r="C257" s="23" t="inlineStr">
        <is>
          <t>BOX 120 I</t>
        </is>
      </c>
      <c r="D257" s="23" t="inlineStr"/>
      <c r="E257" s="23" t="inlineStr"/>
      <c r="F257" s="23" t="inlineStr">
        <is>
          <t>—</t>
        </is>
      </c>
      <c r="G257" s="24" t="n"/>
      <c r="H257" s="24" t="n"/>
      <c r="I257" s="25" t="inlineStr">
        <is>
          <t>Absente de la base 2022</t>
        </is>
      </c>
    </row>
    <row r="258">
      <c r="A258" s="4" t="inlineStr">
        <is>
          <t>BW-1032</t>
        </is>
      </c>
      <c r="B258" s="23" t="inlineStr">
        <is>
          <t>Agitator / stirrer MIR A</t>
        </is>
      </c>
      <c r="C258" s="23" t="inlineStr">
        <is>
          <t>BOX 80 I</t>
        </is>
      </c>
      <c r="D258" s="23" t="inlineStr"/>
      <c r="E258" s="23" t="inlineStr"/>
      <c r="F258" s="23" t="inlineStr">
        <is>
          <t>—</t>
        </is>
      </c>
      <c r="G258" s="24" t="n"/>
      <c r="H258" s="24" t="n"/>
      <c r="I258" s="25" t="inlineStr">
        <is>
          <t>Absente de la base 2022</t>
        </is>
      </c>
    </row>
    <row r="259">
      <c r="A259" s="4" t="inlineStr">
        <is>
          <t>BW-1033</t>
        </is>
      </c>
      <c r="B259" s="23" t="inlineStr">
        <is>
          <t>Agitator bracket</t>
        </is>
      </c>
      <c r="C259" s="23" t="inlineStr">
        <is>
          <t>BOX 80 I</t>
        </is>
      </c>
      <c r="D259" s="23" t="inlineStr"/>
      <c r="E259" s="23" t="inlineStr"/>
      <c r="F259" s="23" t="inlineStr">
        <is>
          <t>—</t>
        </is>
      </c>
      <c r="G259" s="24" t="n"/>
      <c r="H259" s="24" t="n"/>
      <c r="I259" s="25" t="inlineStr">
        <is>
          <t>Absente de la base 2022</t>
        </is>
      </c>
    </row>
    <row r="260">
      <c r="A260" s="4" t="inlineStr">
        <is>
          <t>BW-1034</t>
        </is>
      </c>
      <c r="B260" s="23" t="inlineStr">
        <is>
          <t>Electronic-board bracket</t>
        </is>
      </c>
      <c r="C260" s="23" t="inlineStr">
        <is>
          <t>BOX 80 I; BOX 120 I</t>
        </is>
      </c>
      <c r="D260" s="23" t="inlineStr"/>
      <c r="E260" s="23" t="inlineStr"/>
      <c r="F260" s="23" t="inlineStr">
        <is>
          <t>—</t>
        </is>
      </c>
      <c r="G260" s="24" t="n"/>
      <c r="H260" s="24" t="n"/>
      <c r="I260" s="25" t="inlineStr">
        <is>
          <t>Absente de la base 2022</t>
        </is>
      </c>
    </row>
    <row r="261">
      <c r="A261" s="4" t="inlineStr">
        <is>
          <t>BW-1035</t>
        </is>
      </c>
      <c r="B261" s="23" t="inlineStr">
        <is>
          <t>Thermostat Ranco K50-H2005/001</t>
        </is>
      </c>
      <c r="C261" s="23" t="inlineStr">
        <is>
          <t>BOX 80 I; BOX 120 I</t>
        </is>
      </c>
      <c r="D261" s="23" t="inlineStr"/>
      <c r="E261" s="23" t="inlineStr"/>
      <c r="F261" s="23" t="inlineStr">
        <is>
          <t>—</t>
        </is>
      </c>
      <c r="G261" s="24" t="n"/>
      <c r="H261" s="24" t="n"/>
      <c r="I261" s="25" t="inlineStr">
        <is>
          <t>Absente de la base 2022</t>
        </is>
      </c>
    </row>
    <row r="262">
      <c r="A262" s="4" t="inlineStr">
        <is>
          <t>BW-1036</t>
        </is>
      </c>
      <c r="B262" s="23" t="inlineStr">
        <is>
          <t>Tank, complete</t>
        </is>
      </c>
      <c r="C262" s="23" t="inlineStr">
        <is>
          <t>BOX 80 I</t>
        </is>
      </c>
      <c r="D262" s="23" t="inlineStr"/>
      <c r="E262" s="23" t="inlineStr"/>
      <c r="F262" s="23" t="inlineStr">
        <is>
          <t>—</t>
        </is>
      </c>
      <c r="G262" s="24" t="n"/>
      <c r="H262" s="24" t="n"/>
      <c r="I262" s="25" t="inlineStr">
        <is>
          <t>Absente de la base 2022</t>
        </is>
      </c>
    </row>
    <row r="263">
      <c r="A263" s="4" t="inlineStr">
        <is>
          <t>BW-1037</t>
        </is>
      </c>
      <c r="B263" s="23" t="inlineStr">
        <is>
          <t>Stainless-steel base</t>
        </is>
      </c>
      <c r="C263" s="23" t="inlineStr">
        <is>
          <t>BOX 80 I</t>
        </is>
      </c>
      <c r="D263" s="23" t="inlineStr"/>
      <c r="E263" s="23" t="inlineStr"/>
      <c r="F263" s="23" t="inlineStr">
        <is>
          <t>—</t>
        </is>
      </c>
      <c r="G263" s="24" t="n"/>
      <c r="H263" s="24" t="n"/>
      <c r="I263" s="25" t="inlineStr">
        <is>
          <t>Absente de la base 2022</t>
        </is>
      </c>
    </row>
    <row r="264">
      <c r="A264" s="4" t="inlineStr">
        <is>
          <t>BW-1038</t>
        </is>
      </c>
      <c r="B264" s="23" t="inlineStr">
        <is>
          <t>Stainless-steel top cover / lid</t>
        </is>
      </c>
      <c r="C264" s="23" t="inlineStr">
        <is>
          <t>BOX 80 I</t>
        </is>
      </c>
      <c r="D264" s="23" t="inlineStr"/>
      <c r="E264" s="23" t="inlineStr"/>
      <c r="F264" s="23" t="inlineStr">
        <is>
          <t>—</t>
        </is>
      </c>
      <c r="G264" s="24" t="n"/>
      <c r="H264" s="24" t="n"/>
      <c r="I264" s="25" t="inlineStr">
        <is>
          <t>Absente de la base 2022</t>
        </is>
      </c>
    </row>
    <row r="265">
      <c r="A265" s="4" t="inlineStr">
        <is>
          <t>BW-1039</t>
        </is>
      </c>
      <c r="B265" s="23" t="inlineStr">
        <is>
          <t>Stainless-steel side panel, right</t>
        </is>
      </c>
      <c r="C265" s="23" t="inlineStr">
        <is>
          <t>BOX 80 I</t>
        </is>
      </c>
      <c r="D265" s="23" t="inlineStr"/>
      <c r="E265" s="23" t="inlineStr"/>
      <c r="F265" s="23" t="inlineStr">
        <is>
          <t>—</t>
        </is>
      </c>
      <c r="G265" s="24" t="n"/>
      <c r="H265" s="24" t="n"/>
      <c r="I265" s="25" t="inlineStr">
        <is>
          <t>Absente de la base 2022</t>
        </is>
      </c>
    </row>
    <row r="266">
      <c r="A266" s="4" t="inlineStr">
        <is>
          <t>BW-1040</t>
        </is>
      </c>
      <c r="B266" s="23" t="inlineStr">
        <is>
          <t>Stainless-steel side panel, left</t>
        </is>
      </c>
      <c r="C266" s="23" t="inlineStr">
        <is>
          <t>BOX 80 I</t>
        </is>
      </c>
      <c r="D266" s="23" t="inlineStr"/>
      <c r="E266" s="23" t="inlineStr"/>
      <c r="F266" s="23" t="inlineStr">
        <is>
          <t>—</t>
        </is>
      </c>
      <c r="G266" s="24" t="n"/>
      <c r="H266" s="24" t="n"/>
      <c r="I266" s="25" t="inlineStr">
        <is>
          <t>Absente de la base 2022</t>
        </is>
      </c>
    </row>
    <row r="267">
      <c r="A267" s="4" t="inlineStr">
        <is>
          <t>BW-1041</t>
        </is>
      </c>
      <c r="B267" s="23" t="inlineStr">
        <is>
          <t>Motor bracket</t>
        </is>
      </c>
      <c r="C267" s="23" t="inlineStr">
        <is>
          <t>BOX 80 I</t>
        </is>
      </c>
      <c r="D267" s="23" t="inlineStr"/>
      <c r="E267" s="23" t="inlineStr"/>
      <c r="F267" s="23" t="inlineStr">
        <is>
          <t>—</t>
        </is>
      </c>
      <c r="G267" s="24" t="n"/>
      <c r="H267" s="24" t="n"/>
      <c r="I267" s="25" t="inlineStr">
        <is>
          <t>Absente de la base 2022</t>
        </is>
      </c>
    </row>
    <row r="268">
      <c r="A268" s="4" t="inlineStr">
        <is>
          <t>BW-1042</t>
        </is>
      </c>
      <c r="B268" s="23" t="inlineStr">
        <is>
          <t>Wiring harness</t>
        </is>
      </c>
      <c r="C268" s="23" t="inlineStr">
        <is>
          <t>BOX 80 I; BOX 120 I</t>
        </is>
      </c>
      <c r="D268" s="23" t="inlineStr"/>
      <c r="E268" s="23" t="inlineStr"/>
      <c r="F268" s="23" t="inlineStr">
        <is>
          <t>—</t>
        </is>
      </c>
      <c r="G268" s="24" t="n"/>
      <c r="H268" s="24" t="n"/>
      <c r="I268" s="25" t="inlineStr">
        <is>
          <t>Absente de la base 2022</t>
        </is>
      </c>
    </row>
    <row r="269">
      <c r="A269" s="4" t="inlineStr">
        <is>
          <t>BW-1043</t>
        </is>
      </c>
      <c r="B269" s="23" t="inlineStr">
        <is>
          <t>Evaporator, complete</t>
        </is>
      </c>
      <c r="C269" s="23" t="inlineStr">
        <is>
          <t>BOX 80 I</t>
        </is>
      </c>
      <c r="D269" s="23" t="inlineStr"/>
      <c r="E269" s="23" t="inlineStr"/>
      <c r="F269" s="23" t="inlineStr">
        <is>
          <t>—</t>
        </is>
      </c>
      <c r="G269" s="24" t="n"/>
      <c r="H269" s="24" t="n"/>
      <c r="I269" s="25" t="inlineStr">
        <is>
          <t>Absente de la base 2022</t>
        </is>
      </c>
    </row>
    <row r="270">
      <c r="A270" s="4" t="inlineStr">
        <is>
          <t>BW-1044</t>
        </is>
      </c>
      <c r="B270" s="23" t="inlineStr">
        <is>
          <t>Earth / ground wiring harness</t>
        </is>
      </c>
      <c r="C270" s="23" t="inlineStr">
        <is>
          <t>BOX 80 I; BOX 120 I</t>
        </is>
      </c>
      <c r="D270" s="23" t="inlineStr"/>
      <c r="E270" s="23" t="inlineStr"/>
      <c r="F270" s="23" t="inlineStr">
        <is>
          <t>—</t>
        </is>
      </c>
      <c r="G270" s="24" t="n"/>
      <c r="H270" s="24" t="n"/>
      <c r="I270" s="25" t="inlineStr">
        <is>
          <t>Absente de la base 2022</t>
        </is>
      </c>
    </row>
    <row r="271">
      <c r="A271" s="4" t="inlineStr">
        <is>
          <t>BW-1045</t>
        </is>
      </c>
      <c r="B271" s="23" t="inlineStr">
        <is>
          <t>Cooling coil, complete</t>
        </is>
      </c>
      <c r="C271" s="23" t="inlineStr">
        <is>
          <t>BOX 80 I</t>
        </is>
      </c>
      <c r="D271" s="23" t="inlineStr"/>
      <c r="E271" s="23" t="inlineStr"/>
      <c r="F271" s="23" t="inlineStr">
        <is>
          <t>—</t>
        </is>
      </c>
      <c r="G271" s="24" t="n"/>
      <c r="H271" s="24" t="n"/>
      <c r="I271" s="25" t="inlineStr">
        <is>
          <t>Absente de la base 2022</t>
        </is>
      </c>
    </row>
    <row r="272">
      <c r="A272" s="4" t="inlineStr">
        <is>
          <t>BW-1046</t>
        </is>
      </c>
      <c r="B272" s="23" t="inlineStr">
        <is>
          <t>Coil spacer</t>
        </is>
      </c>
      <c r="C272" s="23" t="inlineStr">
        <is>
          <t>BOX 80 I; BOX 120 I</t>
        </is>
      </c>
      <c r="D272" s="23" t="inlineStr"/>
      <c r="E272" s="23" t="inlineStr"/>
      <c r="F272" s="23" t="inlineStr">
        <is>
          <t>—</t>
        </is>
      </c>
      <c r="G272" s="24" t="n"/>
      <c r="H272" s="24" t="n"/>
      <c r="I272" s="25" t="inlineStr">
        <is>
          <t>Absente de la base 2022</t>
        </is>
      </c>
    </row>
    <row r="273">
      <c r="A273" s="4" t="inlineStr">
        <is>
          <t>BW-1047</t>
        </is>
      </c>
      <c r="B273" s="23" t="inlineStr">
        <is>
          <t>Square threaded insert</t>
        </is>
      </c>
      <c r="C273" s="23" t="inlineStr">
        <is>
          <t>BOX 80 I; BOX 120 I</t>
        </is>
      </c>
      <c r="D273" s="23" t="inlineStr"/>
      <c r="E273" s="23" t="inlineStr"/>
      <c r="F273" s="23" t="inlineStr">
        <is>
          <t>—</t>
        </is>
      </c>
      <c r="G273" s="24" t="n"/>
      <c r="H273" s="24" t="n"/>
      <c r="I273" s="25" t="inlineStr">
        <is>
          <t>Absente de la base 2022</t>
        </is>
      </c>
    </row>
    <row r="274">
      <c r="A274" s="4" t="inlineStr">
        <is>
          <t>BW-1048</t>
        </is>
      </c>
      <c r="B274" s="23" t="inlineStr">
        <is>
          <t>Earth / ground rivet, 4-way</t>
        </is>
      </c>
      <c r="C274" s="23" t="inlineStr">
        <is>
          <t>BOX 80 I; BOX 120 I</t>
        </is>
      </c>
      <c r="D274" s="23" t="inlineStr"/>
      <c r="E274" s="23" t="inlineStr"/>
      <c r="F274" s="23" t="inlineStr">
        <is>
          <t>—</t>
        </is>
      </c>
      <c r="G274" s="24" t="n"/>
      <c r="H274" s="24" t="n"/>
      <c r="I274" s="25" t="inlineStr">
        <is>
          <t>Absente de la base 2022</t>
        </is>
      </c>
    </row>
    <row r="275">
      <c r="A275" s="4" t="inlineStr">
        <is>
          <t>BW-1049</t>
        </is>
      </c>
      <c r="B275" s="23" t="inlineStr">
        <is>
          <t>Time-delay fuse 5 A</t>
        </is>
      </c>
      <c r="C275" s="23" t="inlineStr">
        <is>
          <t>BOX 80 I</t>
        </is>
      </c>
      <c r="D275" s="23" t="inlineStr"/>
      <c r="E275" s="23" t="inlineStr"/>
      <c r="F275" s="23" t="inlineStr">
        <is>
          <t>—</t>
        </is>
      </c>
      <c r="G275" s="24" t="n"/>
      <c r="H275" s="24" t="n"/>
      <c r="I275" s="25" t="inlineStr">
        <is>
          <t>Absente de la base 2022</t>
        </is>
      </c>
    </row>
    <row r="276">
      <c r="A276" s="4" t="inlineStr">
        <is>
          <t>BW-1050</t>
        </is>
      </c>
      <c r="B276" s="23" t="inlineStr">
        <is>
          <t>Illuminated double-pole switch I/O</t>
        </is>
      </c>
      <c r="C276" s="23" t="inlineStr">
        <is>
          <t>BOX 80 I; BOX 120 I</t>
        </is>
      </c>
      <c r="D276" s="23" t="inlineStr"/>
      <c r="E276" s="23" t="inlineStr"/>
      <c r="F276" s="23" t="inlineStr">
        <is>
          <t>—</t>
        </is>
      </c>
      <c r="G276" s="24" t="n"/>
      <c r="H276" s="24" t="n"/>
      <c r="I276" s="25" t="inlineStr">
        <is>
          <t>Absente de la base 2022</t>
        </is>
      </c>
    </row>
    <row r="277">
      <c r="A277" s="4" t="inlineStr">
        <is>
          <t>BW-1051</t>
        </is>
      </c>
      <c r="B277" s="23" t="inlineStr">
        <is>
          <t>Rubber foot Ø30, steel M6x1</t>
        </is>
      </c>
      <c r="C277" s="23" t="inlineStr">
        <is>
          <t>BOX 80 I; BOX 120 I</t>
        </is>
      </c>
      <c r="D277" s="23" t="inlineStr"/>
      <c r="E277" s="23" t="inlineStr"/>
      <c r="F277" s="23" t="inlineStr">
        <is>
          <t>—</t>
        </is>
      </c>
      <c r="G277" s="24" t="n"/>
      <c r="H277" s="24" t="n"/>
      <c r="I277" s="25" t="inlineStr">
        <is>
          <t>Absente de la base 2022</t>
        </is>
      </c>
    </row>
    <row r="278">
      <c r="A278" s="4" t="inlineStr">
        <is>
          <t>BW-1052</t>
        </is>
      </c>
      <c r="B278" s="23" t="inlineStr">
        <is>
          <t>Condenser</t>
        </is>
      </c>
      <c r="C278" s="23" t="inlineStr">
        <is>
          <t>BOX 120 I</t>
        </is>
      </c>
      <c r="D278" s="23" t="inlineStr"/>
      <c r="E278" s="23" t="inlineStr"/>
      <c r="F278" s="23" t="inlineStr">
        <is>
          <t>—</t>
        </is>
      </c>
      <c r="G278" s="24" t="n"/>
      <c r="H278" s="24" t="n"/>
      <c r="I278" s="25" t="inlineStr">
        <is>
          <t>Absente de la base 2022</t>
        </is>
      </c>
    </row>
    <row r="279">
      <c r="A279" s="4" t="inlineStr">
        <is>
          <t>BW-1053</t>
        </is>
      </c>
      <c r="B279" s="23" t="inlineStr">
        <is>
          <t>Pump 200 L/h</t>
        </is>
      </c>
      <c r="C279" s="23" t="inlineStr">
        <is>
          <t>BOX 120 I</t>
        </is>
      </c>
      <c r="D279" s="23" t="inlineStr"/>
      <c r="E279" s="23" t="inlineStr"/>
      <c r="F279" s="23" t="inlineStr">
        <is>
          <t>—</t>
        </is>
      </c>
      <c r="G279" s="24" t="n"/>
      <c r="H279" s="24" t="n"/>
      <c r="I279" s="25" t="inlineStr">
        <is>
          <t>Absente de la base 2022</t>
        </is>
      </c>
    </row>
    <row r="280">
      <c r="A280" s="4" t="inlineStr">
        <is>
          <t>BW-1054</t>
        </is>
      </c>
      <c r="B280" s="23" t="inlineStr">
        <is>
          <t>Carbonator</t>
        </is>
      </c>
      <c r="C280" s="23" t="inlineStr">
        <is>
          <t>BOX 120 I</t>
        </is>
      </c>
      <c r="D280" s="23" t="inlineStr"/>
      <c r="E280" s="23" t="inlineStr"/>
      <c r="F280" s="23" t="inlineStr">
        <is>
          <t>—</t>
        </is>
      </c>
      <c r="G280" s="24" t="n"/>
      <c r="H280" s="24" t="n"/>
      <c r="I280" s="25" t="inlineStr">
        <is>
          <t>Absente de la base 2022</t>
        </is>
      </c>
    </row>
    <row r="281">
      <c r="A281" s="4" t="inlineStr">
        <is>
          <t>BW-1055</t>
        </is>
      </c>
      <c r="B281" s="23" t="inlineStr">
        <is>
          <t>Agitator bracket</t>
        </is>
      </c>
      <c r="C281" s="23" t="inlineStr">
        <is>
          <t>BOX 120 I</t>
        </is>
      </c>
      <c r="D281" s="23" t="inlineStr"/>
      <c r="E281" s="23" t="inlineStr"/>
      <c r="F281" s="23" t="inlineStr">
        <is>
          <t>—</t>
        </is>
      </c>
      <c r="G281" s="24" t="n"/>
      <c r="H281" s="24" t="n"/>
      <c r="I281" s="25" t="inlineStr">
        <is>
          <t>Absente de la base 2022</t>
        </is>
      </c>
    </row>
    <row r="282">
      <c r="A282" s="4" t="inlineStr">
        <is>
          <t>BW-1056</t>
        </is>
      </c>
      <c r="B282" s="23" t="inlineStr">
        <is>
          <t>Electronic control board - LIV-IBM6</t>
        </is>
      </c>
      <c r="C282" s="23" t="inlineStr">
        <is>
          <t>BOX 120 I</t>
        </is>
      </c>
      <c r="D282" s="23" t="inlineStr"/>
      <c r="E282" s="23" t="inlineStr"/>
      <c r="F282" s="23" t="inlineStr">
        <is>
          <t>—</t>
        </is>
      </c>
      <c r="G282" s="24" t="n"/>
      <c r="H282" s="24" t="n"/>
      <c r="I282" s="25" t="inlineStr">
        <is>
          <t>Absente de la base 2022</t>
        </is>
      </c>
    </row>
    <row r="283">
      <c r="A283" s="4" t="inlineStr">
        <is>
          <t>BW-1057</t>
        </is>
      </c>
      <c r="B283" s="23" t="inlineStr">
        <is>
          <t>Tank, complete</t>
        </is>
      </c>
      <c r="C283" s="23" t="inlineStr">
        <is>
          <t>BOX 120 I</t>
        </is>
      </c>
      <c r="D283" s="23" t="inlineStr"/>
      <c r="E283" s="23" t="inlineStr"/>
      <c r="F283" s="23" t="inlineStr">
        <is>
          <t>—</t>
        </is>
      </c>
      <c r="G283" s="24" t="n"/>
      <c r="H283" s="24" t="n"/>
      <c r="I283" s="25" t="inlineStr">
        <is>
          <t>Absente de la base 2022</t>
        </is>
      </c>
    </row>
    <row r="284">
      <c r="A284" s="4" t="inlineStr">
        <is>
          <t>BW-1058</t>
        </is>
      </c>
      <c r="B284" s="23" t="inlineStr">
        <is>
          <t>Stainless-steel base</t>
        </is>
      </c>
      <c r="C284" s="23" t="inlineStr">
        <is>
          <t>BOX 120 I</t>
        </is>
      </c>
      <c r="D284" s="23" t="inlineStr"/>
      <c r="E284" s="23" t="inlineStr"/>
      <c r="F284" s="23" t="inlineStr">
        <is>
          <t>—</t>
        </is>
      </c>
      <c r="G284" s="24" t="n"/>
      <c r="H284" s="24" t="n"/>
      <c r="I284" s="25" t="inlineStr">
        <is>
          <t>Absente de la base 2022</t>
        </is>
      </c>
    </row>
    <row r="285">
      <c r="A285" s="4" t="inlineStr">
        <is>
          <t>BW-1059</t>
        </is>
      </c>
      <c r="B285" s="23" t="inlineStr">
        <is>
          <t>Stainless-steel top cover / lid</t>
        </is>
      </c>
      <c r="C285" s="23" t="inlineStr">
        <is>
          <t>BOX 120 I</t>
        </is>
      </c>
      <c r="D285" s="23" t="inlineStr"/>
      <c r="E285" s="23" t="inlineStr"/>
      <c r="F285" s="23" t="inlineStr">
        <is>
          <t>—</t>
        </is>
      </c>
      <c r="G285" s="24" t="n"/>
      <c r="H285" s="24" t="n"/>
      <c r="I285" s="25" t="inlineStr">
        <is>
          <t>Absente de la base 2022</t>
        </is>
      </c>
    </row>
    <row r="286">
      <c r="A286" s="4" t="inlineStr">
        <is>
          <t>BW-1060</t>
        </is>
      </c>
      <c r="B286" s="23" t="inlineStr">
        <is>
          <t>Stainless-steel side panel, right</t>
        </is>
      </c>
      <c r="C286" s="23" t="inlineStr">
        <is>
          <t>BOX 120 I</t>
        </is>
      </c>
      <c r="D286" s="23" t="inlineStr"/>
      <c r="E286" s="23" t="inlineStr"/>
      <c r="F286" s="23" t="inlineStr">
        <is>
          <t>—</t>
        </is>
      </c>
      <c r="G286" s="24" t="n"/>
      <c r="H286" s="24" t="n"/>
      <c r="I286" s="25" t="inlineStr">
        <is>
          <t>Absente de la base 2022</t>
        </is>
      </c>
    </row>
    <row r="287">
      <c r="A287" s="4" t="inlineStr">
        <is>
          <t>BW-1061</t>
        </is>
      </c>
      <c r="B287" s="23" t="inlineStr">
        <is>
          <t>Stainless-steel side panel, left</t>
        </is>
      </c>
      <c r="C287" s="23" t="inlineStr">
        <is>
          <t>BOX 120 I</t>
        </is>
      </c>
      <c r="D287" s="23" t="inlineStr"/>
      <c r="E287" s="23" t="inlineStr"/>
      <c r="F287" s="23" t="inlineStr">
        <is>
          <t>—</t>
        </is>
      </c>
      <c r="G287" s="24" t="n"/>
      <c r="H287" s="24" t="n"/>
      <c r="I287" s="25" t="inlineStr">
        <is>
          <t>Absente de la base 2022</t>
        </is>
      </c>
    </row>
    <row r="288">
      <c r="A288" s="4" t="inlineStr">
        <is>
          <t>BW-1062</t>
        </is>
      </c>
      <c r="B288" s="23" t="inlineStr">
        <is>
          <t>Motor bracket</t>
        </is>
      </c>
      <c r="C288" s="23" t="inlineStr">
        <is>
          <t>BOX 120 I</t>
        </is>
      </c>
      <c r="D288" s="23" t="inlineStr"/>
      <c r="E288" s="23" t="inlineStr"/>
      <c r="F288" s="23" t="inlineStr">
        <is>
          <t>—</t>
        </is>
      </c>
      <c r="G288" s="24" t="n"/>
      <c r="H288" s="24" t="n"/>
      <c r="I288" s="25" t="inlineStr">
        <is>
          <t>Absente de la base 2022</t>
        </is>
      </c>
    </row>
    <row r="289">
      <c r="A289" s="4" t="inlineStr">
        <is>
          <t>BW-1063</t>
        </is>
      </c>
      <c r="B289" s="23" t="inlineStr">
        <is>
          <t>Evaporator, complete</t>
        </is>
      </c>
      <c r="C289" s="23" t="inlineStr">
        <is>
          <t>BOX 120 I</t>
        </is>
      </c>
      <c r="D289" s="23" t="inlineStr"/>
      <c r="E289" s="23" t="inlineStr"/>
      <c r="F289" s="23" t="inlineStr">
        <is>
          <t>—</t>
        </is>
      </c>
      <c r="G289" s="24" t="n"/>
      <c r="H289" s="24" t="n"/>
      <c r="I289" s="25" t="inlineStr">
        <is>
          <t>Absente de la base 2022</t>
        </is>
      </c>
    </row>
    <row r="290">
      <c r="A290" s="4" t="inlineStr">
        <is>
          <t>BW-1064</t>
        </is>
      </c>
      <c r="B290" s="23" t="inlineStr">
        <is>
          <t>Cooling coil, complete</t>
        </is>
      </c>
      <c r="C290" s="23" t="inlineStr">
        <is>
          <t>BOX 120 I</t>
        </is>
      </c>
      <c r="D290" s="23" t="inlineStr"/>
      <c r="E290" s="23" t="inlineStr"/>
      <c r="F290" s="23" t="inlineStr">
        <is>
          <t>—</t>
        </is>
      </c>
      <c r="G290" s="24" t="n"/>
      <c r="H290" s="24" t="n"/>
      <c r="I290" s="25" t="inlineStr">
        <is>
          <t>Absente de la base 2022</t>
        </is>
      </c>
    </row>
    <row r="291">
      <c r="A291" s="4" t="inlineStr">
        <is>
          <t>BW-1065</t>
        </is>
      </c>
      <c r="B291" s="23" t="inlineStr">
        <is>
          <t>Rubber cable grommet Ø23</t>
        </is>
      </c>
      <c r="C291" s="23" t="inlineStr">
        <is>
          <t>BOX 120 I</t>
        </is>
      </c>
      <c r="D291" s="23" t="inlineStr"/>
      <c r="E291" s="23" t="inlineStr"/>
      <c r="F291" s="23" t="inlineStr">
        <is>
          <t>—</t>
        </is>
      </c>
      <c r="G291" s="24" t="n"/>
      <c r="H291" s="24" t="n"/>
      <c r="I291" s="25" t="inlineStr">
        <is>
          <t>Absente de la base 2022</t>
        </is>
      </c>
    </row>
    <row r="292">
      <c r="A292" s="4" t="inlineStr">
        <is>
          <t>BW-1066</t>
        </is>
      </c>
      <c r="B292" s="23" t="inlineStr">
        <is>
          <t>Time-delay fuse 10 A</t>
        </is>
      </c>
      <c r="C292" s="23" t="inlineStr">
        <is>
          <t>BOX 120 I</t>
        </is>
      </c>
      <c r="D292" s="23" t="inlineStr"/>
      <c r="E292" s="23" t="inlineStr"/>
      <c r="F292" s="23" t="inlineStr">
        <is>
          <t>—</t>
        </is>
      </c>
      <c r="G292" s="24" t="n"/>
      <c r="H292" s="24" t="n"/>
      <c r="I292" s="25" t="inlineStr">
        <is>
          <t>Absente de la base 2022</t>
        </is>
      </c>
    </row>
    <row r="293">
      <c r="A293" s="4" t="inlineStr">
        <is>
          <t>BW-1067</t>
        </is>
      </c>
      <c r="B293" s="23" t="inlineStr">
        <is>
          <t>Reopenable cable tie (for panel hole)</t>
        </is>
      </c>
      <c r="C293" s="23" t="inlineStr">
        <is>
          <t>BOX 120 I</t>
        </is>
      </c>
      <c r="D293" s="23" t="inlineStr"/>
      <c r="E293" s="23" t="inlineStr"/>
      <c r="F293" s="23" t="inlineStr">
        <is>
          <t>—</t>
        </is>
      </c>
      <c r="G293" s="24" t="n"/>
      <c r="H293" s="24" t="n"/>
      <c r="I293" s="25" t="inlineStr">
        <is>
          <t>Absente de la base 2022</t>
        </is>
      </c>
    </row>
    <row r="294">
      <c r="A294" s="4" t="inlineStr">
        <is>
          <t>BW-1068</t>
        </is>
      </c>
      <c r="B294" s="23" t="inlineStr">
        <is>
          <t>Carb level probe</t>
        </is>
      </c>
      <c r="C294" s="23" t="inlineStr">
        <is>
          <t>BOX 30E; BOX 30</t>
        </is>
      </c>
      <c r="D294" s="23" t="inlineStr">
        <is>
          <t>Borg&amp;Overström</t>
        </is>
      </c>
      <c r="E294" s="23" t="inlineStr">
        <is>
          <t>701157</t>
        </is>
      </c>
      <c r="F294" s="23" t="inlineStr">
        <is>
          <t>—</t>
        </is>
      </c>
      <c r="G294" s="24" t="n"/>
      <c r="H294" s="24" t="n"/>
      <c r="I294" s="25" t="inlineStr">
        <is>
          <t>Prix à demander (AS*)</t>
        </is>
      </c>
    </row>
    <row r="295">
      <c r="A295" s="4" t="inlineStr">
        <is>
          <t>BW-1069</t>
        </is>
      </c>
      <c r="B295" s="23" t="inlineStr">
        <is>
          <t>Temp probe</t>
        </is>
      </c>
      <c r="C295" s="23" t="inlineStr">
        <is>
          <t>BOX 30E; BOX 30</t>
        </is>
      </c>
      <c r="D295" s="23" t="inlineStr">
        <is>
          <t>Borg&amp;Overström</t>
        </is>
      </c>
      <c r="E295" s="23" t="inlineStr">
        <is>
          <t>720023</t>
        </is>
      </c>
      <c r="F295" s="23" t="inlineStr">
        <is>
          <t>—</t>
        </is>
      </c>
      <c r="G295" s="24" t="n"/>
      <c r="H295" s="24" t="n"/>
      <c r="I295" s="25" t="inlineStr">
        <is>
          <t>Prix à demander (AS*)</t>
        </is>
      </c>
    </row>
    <row r="296">
      <c r="A296" s="4" t="inlineStr">
        <is>
          <t>BW-1070</t>
        </is>
      </c>
      <c r="B296" s="23" t="inlineStr">
        <is>
          <t>U2 Tap Twin Port 285 mm Mounting Gasket 35 mm</t>
        </is>
      </c>
      <c r="C296" s="23" t="inlineStr">
        <is>
          <t>BAR1</t>
        </is>
      </c>
      <c r="D296" s="23" t="inlineStr">
        <is>
          <t>Borg&amp;Overström</t>
        </is>
      </c>
      <c r="E296" s="23" t="inlineStr">
        <is>
          <t>604022</t>
        </is>
      </c>
      <c r="F296" s="23" t="inlineStr">
        <is>
          <t>—</t>
        </is>
      </c>
      <c r="G296" s="24" t="n"/>
      <c r="H296" s="24" t="n"/>
      <c r="I296" s="25" t="inlineStr">
        <is>
          <t>Prix à demander (AS*)</t>
        </is>
      </c>
    </row>
    <row r="297">
      <c r="A297" s="4" t="inlineStr">
        <is>
          <t>BW-1071</t>
        </is>
      </c>
      <c r="B297" s="23" t="inlineStr">
        <is>
          <t>RECIRCULATION PUMP 230V</t>
        </is>
      </c>
      <c r="C297" s="23" t="inlineStr">
        <is>
          <t>BOX 80</t>
        </is>
      </c>
      <c r="D297" s="23" t="inlineStr">
        <is>
          <t>Blupura</t>
        </is>
      </c>
      <c r="E297" s="23" t="inlineStr">
        <is>
          <t>810327</t>
        </is>
      </c>
      <c r="F297" s="23" t="inlineStr">
        <is>
          <t>760633</t>
        </is>
      </c>
      <c r="G297" s="24" t="n">
        <v>69.2</v>
      </c>
      <c r="H297" s="24" t="n"/>
      <c r="I297" s="26" t="inlineStr">
        <is>
          <t>Chiffrable via tarif 2024</t>
        </is>
      </c>
    </row>
    <row r="298">
      <c r="A298" s="4" t="inlineStr">
        <is>
          <t>BW-1072</t>
        </is>
      </c>
      <c r="B298" s="23" t="inlineStr">
        <is>
          <t>Capillary tube</t>
        </is>
      </c>
      <c r="C298" s="23" t="inlineStr">
        <is>
          <t>BOX 80 I</t>
        </is>
      </c>
      <c r="D298" s="23" t="inlineStr"/>
      <c r="E298" s="23" t="inlineStr"/>
      <c r="F298" s="23" t="inlineStr">
        <is>
          <t>—</t>
        </is>
      </c>
      <c r="G298" s="24" t="n"/>
      <c r="H298" s="24" t="n"/>
      <c r="I298" s="25" t="inlineStr">
        <is>
          <t>Absente de la base 2022</t>
        </is>
      </c>
    </row>
  </sheetData>
  <autoFilter ref="A4:I29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2026-08-26T15:22:48Z</dcterms:created>
  <dcterms:modified xsi:type="dcterms:W3CDTF">2026-08-26T15:22:48Z</dcterms:modified>
</cp:coreProperties>
</file>